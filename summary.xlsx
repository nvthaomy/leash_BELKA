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nguyen/Documents/kaggle/leash-BELKA/"/>
    </mc:Choice>
  </mc:AlternateContent>
  <xr:revisionPtr revIDLastSave="0" documentId="13_ncr:1_{613A4F50-BA64-9E48-9303-FE3735A67FD0}" xr6:coauthVersionLast="47" xr6:coauthVersionMax="47" xr10:uidLastSave="{00000000-0000-0000-0000-000000000000}"/>
  <bookViews>
    <workbookView xWindow="0" yWindow="1060" windowWidth="29400" windowHeight="16820" xr2:uid="{21F619C5-06F9-4B42-B9A4-21AA95F09C65}"/>
  </bookViews>
  <sheets>
    <sheet name="Sheet1" sheetId="1" r:id="rId1"/>
    <sheet name="Sheet2" sheetId="2" r:id="rId2"/>
    <sheet name="Sheet3" sheetId="3" r:id="rId3"/>
  </sheets>
  <definedNames>
    <definedName name="_xlchart.v1.0" hidden="1">Sheet1!$D$73:$D$75</definedName>
    <definedName name="_xlchart.v1.1" hidden="1">Sheet1!$J$73:$J$75</definedName>
    <definedName name="_xlchart.v1.2" hidden="1">Sheet1!$D$73:$D$75</definedName>
    <definedName name="_xlchart.v1.3" hidden="1">Sheet1!$J$73:$J$75</definedName>
    <definedName name="_xlchart.v1.4" hidden="1">Sheet1!$D$73:$D$75</definedName>
    <definedName name="_xlchart.v1.5" hidden="1">Sheet1!$J$73:$J$75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2" i="3"/>
  <c r="D2" i="3"/>
  <c r="I63" i="1"/>
  <c r="H63" i="1"/>
  <c r="I62" i="1"/>
  <c r="H62" i="1"/>
  <c r="J36" i="1" l="1"/>
  <c r="G36" i="1"/>
  <c r="H36" i="1"/>
  <c r="I36" i="1"/>
  <c r="N36" i="1"/>
  <c r="O36" i="1"/>
  <c r="M36" i="1"/>
  <c r="L36" i="1"/>
  <c r="K36" i="1"/>
  <c r="B1" i="2"/>
  <c r="J4" i="2" s="1"/>
  <c r="I10" i="2"/>
  <c r="J6" i="2"/>
  <c r="D4" i="2"/>
  <c r="F4" i="2" s="1"/>
  <c r="G4" i="2" s="1"/>
  <c r="H60" i="1"/>
  <c r="H61" i="1"/>
  <c r="H55" i="1"/>
  <c r="H56" i="1"/>
  <c r="H58" i="1"/>
  <c r="C10" i="2"/>
  <c r="B10" i="2"/>
  <c r="C9" i="2"/>
  <c r="B9" i="2"/>
  <c r="C8" i="2"/>
  <c r="D8" i="2" s="1"/>
  <c r="B8" i="2"/>
  <c r="C7" i="2"/>
  <c r="C6" i="2"/>
  <c r="C5" i="2"/>
  <c r="D5" i="2" s="1"/>
  <c r="F5" i="2" s="1"/>
  <c r="G5" i="2" s="1"/>
  <c r="G31" i="1"/>
  <c r="H31" i="1"/>
  <c r="I31" i="1"/>
  <c r="M31" i="1"/>
  <c r="L31" i="1"/>
  <c r="K31" i="1"/>
  <c r="L34" i="1"/>
  <c r="M34" i="1"/>
  <c r="K34" i="1"/>
  <c r="M30" i="1"/>
  <c r="L30" i="1"/>
  <c r="K30" i="1"/>
  <c r="M28" i="1"/>
  <c r="L28" i="1"/>
  <c r="K28" i="1"/>
  <c r="M33" i="1"/>
  <c r="L33" i="1"/>
  <c r="K33" i="1"/>
  <c r="Y4" i="1"/>
  <c r="Y6" i="1"/>
  <c r="Y7" i="1"/>
  <c r="Y8" i="1"/>
  <c r="Y5" i="1"/>
  <c r="I19" i="1"/>
  <c r="M19" i="1"/>
  <c r="M32" i="1"/>
  <c r="L32" i="1"/>
  <c r="K32" i="1"/>
  <c r="M27" i="1"/>
  <c r="L27" i="1"/>
  <c r="K27" i="1"/>
  <c r="H19" i="1"/>
  <c r="L19" i="1"/>
  <c r="I21" i="1"/>
  <c r="M21" i="1"/>
  <c r="H21" i="1"/>
  <c r="L21" i="1"/>
  <c r="G21" i="1"/>
  <c r="K21" i="1"/>
  <c r="J26" i="1"/>
  <c r="H35" i="1"/>
  <c r="L35" i="1"/>
  <c r="M26" i="1"/>
  <c r="G35" i="1"/>
  <c r="K35" i="1"/>
  <c r="I35" i="1"/>
  <c r="M35" i="1"/>
  <c r="L26" i="1"/>
  <c r="K26" i="1"/>
  <c r="M7" i="1"/>
  <c r="L7" i="1"/>
  <c r="H7" i="1"/>
  <c r="G7" i="1"/>
  <c r="K7" i="1"/>
  <c r="H25" i="1"/>
  <c r="L25" i="1"/>
  <c r="I25" i="1"/>
  <c r="M25" i="1"/>
  <c r="G25" i="1"/>
  <c r="K25" i="1"/>
  <c r="J6" i="1"/>
  <c r="G24" i="1"/>
  <c r="H24" i="1"/>
  <c r="I24" i="1"/>
  <c r="M24" i="1"/>
  <c r="L24" i="1"/>
  <c r="K24" i="1"/>
  <c r="X6" i="1"/>
  <c r="X5" i="1"/>
  <c r="M15" i="1"/>
  <c r="M40" i="1"/>
  <c r="L40" i="1"/>
  <c r="K15" i="1"/>
  <c r="G19" i="1"/>
  <c r="K19" i="1"/>
  <c r="K41" i="1"/>
  <c r="L41" i="1"/>
  <c r="M41" i="1"/>
  <c r="M6" i="1"/>
  <c r="L6" i="1"/>
  <c r="K6" i="1"/>
  <c r="L39" i="1"/>
  <c r="M39" i="1"/>
  <c r="K39" i="1"/>
  <c r="M18" i="1"/>
  <c r="L18" i="1"/>
  <c r="K40" i="1"/>
  <c r="M38" i="1"/>
  <c r="L38" i="1"/>
  <c r="K38" i="1"/>
  <c r="M17" i="1"/>
  <c r="L17" i="1"/>
  <c r="K17" i="1"/>
  <c r="M16" i="1"/>
  <c r="L16" i="1"/>
  <c r="K16" i="1"/>
  <c r="N42" i="1"/>
  <c r="N43" i="1"/>
  <c r="N44" i="1"/>
  <c r="N45" i="1"/>
  <c r="N46" i="1"/>
  <c r="N47" i="1"/>
  <c r="N48" i="1"/>
  <c r="M14" i="1"/>
  <c r="L14" i="1"/>
  <c r="K14" i="1"/>
  <c r="M13" i="1"/>
  <c r="L13" i="1"/>
  <c r="K13" i="1"/>
  <c r="M12" i="1"/>
  <c r="L12" i="1"/>
  <c r="K12" i="1"/>
  <c r="M11" i="1"/>
  <c r="L11" i="1"/>
  <c r="K11" i="1"/>
  <c r="G10" i="1"/>
  <c r="I10" i="1"/>
  <c r="M10" i="1"/>
  <c r="H10" i="1"/>
  <c r="L10" i="1"/>
  <c r="K10" i="1"/>
  <c r="U3" i="1"/>
  <c r="T3" i="1"/>
  <c r="S3" i="1"/>
  <c r="I9" i="1"/>
  <c r="M9" i="1"/>
  <c r="H9" i="1"/>
  <c r="L9" i="1"/>
  <c r="G9" i="1"/>
  <c r="K9" i="1"/>
  <c r="I8" i="1"/>
  <c r="M8" i="1"/>
  <c r="L8" i="1"/>
  <c r="H8" i="1"/>
  <c r="G8" i="1"/>
  <c r="K8" i="1"/>
  <c r="G5" i="1"/>
  <c r="K5" i="1"/>
  <c r="H5" i="1"/>
  <c r="L5" i="1"/>
  <c r="M5" i="1"/>
  <c r="M4" i="1"/>
  <c r="I4" i="1"/>
  <c r="L4" i="1"/>
  <c r="H4" i="1"/>
  <c r="G4" i="1"/>
  <c r="K4" i="1"/>
  <c r="J31" i="1" l="1"/>
  <c r="N31" i="1"/>
  <c r="J7" i="2"/>
  <c r="D6" i="2"/>
  <c r="F6" i="2" s="1"/>
  <c r="G6" i="2" s="1"/>
  <c r="J5" i="2"/>
  <c r="J10" i="2"/>
  <c r="D7" i="2"/>
  <c r="F7" i="2" s="1"/>
  <c r="G7" i="2" s="1"/>
  <c r="I9" i="2"/>
  <c r="J9" i="2" s="1"/>
  <c r="I8" i="2"/>
  <c r="J8" i="2" s="1"/>
  <c r="D10" i="2"/>
  <c r="D9" i="2"/>
  <c r="N34" i="1"/>
  <c r="N30" i="1"/>
  <c r="N33" i="1"/>
  <c r="N28" i="1"/>
  <c r="N32" i="1"/>
  <c r="N21" i="1"/>
  <c r="N27" i="1"/>
  <c r="N35" i="1"/>
  <c r="J21" i="1"/>
  <c r="N19" i="1"/>
  <c r="N7" i="1"/>
  <c r="N26" i="1"/>
  <c r="J35" i="1"/>
  <c r="J7" i="1"/>
  <c r="J25" i="1"/>
  <c r="N25" i="1"/>
  <c r="J24" i="1"/>
  <c r="J9" i="1"/>
  <c r="J4" i="1"/>
  <c r="J5" i="1"/>
  <c r="J8" i="1"/>
  <c r="N40" i="1"/>
  <c r="J10" i="1"/>
  <c r="N24" i="1"/>
  <c r="N41" i="1"/>
  <c r="N13" i="1"/>
  <c r="N6" i="1"/>
  <c r="N39" i="1"/>
  <c r="N5" i="1"/>
  <c r="N11" i="1"/>
  <c r="N18" i="1"/>
  <c r="T4" i="1"/>
  <c r="N12" i="1"/>
  <c r="N9" i="1"/>
  <c r="N16" i="1"/>
  <c r="N4" i="1"/>
  <c r="U4" i="1"/>
  <c r="N17" i="1"/>
  <c r="N14" i="1"/>
  <c r="N10" i="1"/>
  <c r="S4" i="1"/>
  <c r="N8" i="1"/>
  <c r="N38" i="1"/>
  <c r="F9" i="2" l="1"/>
  <c r="G9" i="2" s="1"/>
  <c r="F10" i="2"/>
  <c r="G10" i="2" s="1"/>
  <c r="F8" i="2"/>
  <c r="G8" i="2" s="1"/>
  <c r="O31" i="1"/>
  <c r="O34" i="1"/>
  <c r="O32" i="1"/>
  <c r="O30" i="1"/>
  <c r="O28" i="1"/>
  <c r="O33" i="1"/>
  <c r="O27" i="1"/>
  <c r="O26" i="1"/>
  <c r="O21" i="1"/>
  <c r="O19" i="1"/>
  <c r="O35" i="1"/>
  <c r="O7" i="1"/>
  <c r="O25" i="1"/>
  <c r="O24" i="1"/>
  <c r="O6" i="1"/>
  <c r="O14" i="1"/>
  <c r="O39" i="1"/>
  <c r="O18" i="1"/>
  <c r="O12" i="1"/>
  <c r="O4" i="1"/>
  <c r="O38" i="1"/>
  <c r="O17" i="1"/>
  <c r="O43" i="1"/>
  <c r="O47" i="1"/>
  <c r="O8" i="1"/>
  <c r="O41" i="1"/>
  <c r="O45" i="1"/>
  <c r="O44" i="1"/>
  <c r="O48" i="1"/>
  <c r="O11" i="1"/>
  <c r="O42" i="1"/>
  <c r="O46" i="1"/>
  <c r="O5" i="1"/>
  <c r="O10" i="1"/>
  <c r="O16" i="1"/>
  <c r="O40" i="1"/>
  <c r="O13" i="1"/>
  <c r="O9" i="1"/>
</calcChain>
</file>

<file path=xl/sharedStrings.xml><?xml version="1.0" encoding="utf-8"?>
<sst xmlns="http://schemas.openxmlformats.org/spreadsheetml/2006/main" count="150" uniqueCount="67">
  <si>
    <t>positive rate</t>
  </si>
  <si>
    <t>resampling</t>
  </si>
  <si>
    <t>train score</t>
  </si>
  <si>
    <t>sEH</t>
  </si>
  <si>
    <t>HSA</t>
  </si>
  <si>
    <t>BRD4</t>
  </si>
  <si>
    <t>val score</t>
  </si>
  <si>
    <t>avg</t>
  </si>
  <si>
    <t>test score</t>
  </si>
  <si>
    <t>count in test</t>
  </si>
  <si>
    <t>weight</t>
  </si>
  <si>
    <t>weighted avg</t>
  </si>
  <si>
    <t>model</t>
  </si>
  <si>
    <t>NN</t>
  </si>
  <si>
    <t>RF</t>
  </si>
  <si>
    <t>train size (k)</t>
  </si>
  <si>
    <t>drop out</t>
  </si>
  <si>
    <t>FP bit</t>
  </si>
  <si>
    <t>running</t>
  </si>
  <si>
    <t>score</t>
  </si>
  <si>
    <t>trend</t>
  </si>
  <si>
    <t>NN2 (+ 128 to 64 layer)</t>
  </si>
  <si>
    <t>NN3 (256 to 64 instead of 256 to 128)</t>
  </si>
  <si>
    <t>NN4 (add batch normalization)</t>
  </si>
  <si>
    <t>(slower than without normalization but more stable, loss continue to decrease)</t>
  </si>
  <si>
    <t>bind threshold=0.5</t>
  </si>
  <si>
    <t>bind threshold=0.7</t>
  </si>
  <si>
    <t>NN5' (remove 256 to 164 layer)</t>
  </si>
  <si>
    <t>NN5 (add 1024 to 2048 2048 to 1024)</t>
  </si>
  <si>
    <t>n_pos min</t>
  </si>
  <si>
    <t>max</t>
  </si>
  <si>
    <t>max ratio</t>
  </si>
  <si>
    <t>updated ratio</t>
  </si>
  <si>
    <t>0,1,2</t>
  </si>
  <si>
    <t>0,1</t>
  </si>
  <si>
    <t>0,2</t>
  </si>
  <si>
    <t>1,2</t>
  </si>
  <si>
    <t>n</t>
  </si>
  <si>
    <t>predict each protein separately</t>
  </si>
  <si>
    <t xml:space="preserve">predict all protein together </t>
  </si>
  <si>
    <t>NN5</t>
  </si>
  <si>
    <t>NN5b</t>
  </si>
  <si>
    <t>NN4b</t>
  </si>
  <si>
    <t>full_test</t>
  </si>
  <si>
    <t>full_test (~ 14M)</t>
  </si>
  <si>
    <t>-</t>
  </si>
  <si>
    <t>CNN1d</t>
  </si>
  <si>
    <t>CNN1d-b</t>
  </si>
  <si>
    <t>try ratio</t>
  </si>
  <si>
    <t>NN5'</t>
  </si>
  <si>
    <t>1024-104</t>
  </si>
  <si>
    <t>5M</t>
  </si>
  <si>
    <t>dir</t>
  </si>
  <si>
    <t>/scratch1/mynguyen/leash-BELKA/split2_nn_morgan/checkpoints_posrate-0.082_size-5.0M_NN5_00_1024bits_invar1024bits_resampling-False_reweighting-False</t>
  </si>
  <si>
    <t>15M</t>
  </si>
  <si>
    <t>/scratch1/mynguyen/leash-BELKA/split2_nn_morgan/checkpoints_posrate-0.027_size-15.0M_NN4_00_1024bits_invar0bits_resampling-False_reweighting-False</t>
  </si>
  <si>
    <t>bag</t>
  </si>
  <si>
    <t>SNA</t>
  </si>
  <si>
    <t>UA</t>
  </si>
  <si>
    <t>sum</t>
  </si>
  <si>
    <t>SW</t>
  </si>
  <si>
    <t>FPGCN</t>
  </si>
  <si>
    <t>new scoring</t>
  </si>
  <si>
    <t>private score</t>
  </si>
  <si>
    <t>F</t>
  </si>
  <si>
    <t>NN4</t>
  </si>
  <si>
    <t>train size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</si>
</sst>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1332F1"/>
      <name val="Aptos Narrow"/>
      <scheme val="minor"/>
    </font>
    <font>
      <sz val="12"/>
      <color theme="9"/>
      <name val="Aptos Narrow"/>
      <family val="2"/>
      <scheme val="minor"/>
    </font>
    <font>
      <sz val="12"/>
      <color rgb="FF1332F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332F1"/>
      <color rgb="FFFF62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Sheet1!$O$4:$O$35</c:f>
              <c:numCache>
                <c:formatCode>General</c:formatCode>
                <c:ptCount val="32"/>
                <c:pt idx="0">
                  <c:v>0.61439891501043808</c:v>
                </c:pt>
                <c:pt idx="1">
                  <c:v>0.68992653135126558</c:v>
                </c:pt>
                <c:pt idx="2">
                  <c:v>0.51041010215959282</c:v>
                </c:pt>
                <c:pt idx="3">
                  <c:v>0.58321864678222546</c:v>
                </c:pt>
                <c:pt idx="4">
                  <c:v>0.83778324358106837</c:v>
                </c:pt>
                <c:pt idx="5">
                  <c:v>0.84010828167611096</c:v>
                </c:pt>
                <c:pt idx="6">
                  <c:v>0.72606795005033797</c:v>
                </c:pt>
                <c:pt idx="7">
                  <c:v>0.77903514318786793</c:v>
                </c:pt>
                <c:pt idx="8">
                  <c:v>0.78136184791488694</c:v>
                </c:pt>
                <c:pt idx="9">
                  <c:v>0.33703650057177553</c:v>
                </c:pt>
                <c:pt idx="10">
                  <c:v>0.37515121930263984</c:v>
                </c:pt>
                <c:pt idx="12">
                  <c:v>0.8159463948865544</c:v>
                </c:pt>
                <c:pt idx="13">
                  <c:v>0.35716116131840436</c:v>
                </c:pt>
                <c:pt idx="14">
                  <c:v>0.22214285214144708</c:v>
                </c:pt>
                <c:pt idx="15">
                  <c:v>0.81724646520948396</c:v>
                </c:pt>
                <c:pt idx="17">
                  <c:v>0.82850976315012503</c:v>
                </c:pt>
                <c:pt idx="20">
                  <c:v>0.54569458616157518</c:v>
                </c:pt>
                <c:pt idx="21">
                  <c:v>0.61711173336894154</c:v>
                </c:pt>
                <c:pt idx="22">
                  <c:v>0.67167624741109921</c:v>
                </c:pt>
                <c:pt idx="23">
                  <c:v>0.82237573609006009</c:v>
                </c:pt>
                <c:pt idx="24">
                  <c:v>0.83536246643774981</c:v>
                </c:pt>
                <c:pt idx="26">
                  <c:v>0.82115038014242125</c:v>
                </c:pt>
                <c:pt idx="27">
                  <c:v>0.83453867183569796</c:v>
                </c:pt>
                <c:pt idx="28">
                  <c:v>0.82539076498611652</c:v>
                </c:pt>
                <c:pt idx="29">
                  <c:v>0.82924864215215943</c:v>
                </c:pt>
                <c:pt idx="30">
                  <c:v>0.81675741331329621</c:v>
                </c:pt>
                <c:pt idx="31">
                  <c:v>0.64430781310907492</c:v>
                </c:pt>
              </c:numCache>
            </c:numRef>
          </c:xVal>
          <c:yVal>
            <c:numRef>
              <c:f>Sheet1!$P$4:$P$35</c:f>
              <c:numCache>
                <c:formatCode>General</c:formatCode>
                <c:ptCount val="32"/>
                <c:pt idx="0">
                  <c:v>0.33600000000000002</c:v>
                </c:pt>
                <c:pt idx="1">
                  <c:v>0.35599999999999998</c:v>
                </c:pt>
                <c:pt idx="4">
                  <c:v>0.309</c:v>
                </c:pt>
                <c:pt idx="5">
                  <c:v>0.29599999999999999</c:v>
                </c:pt>
                <c:pt idx="8">
                  <c:v>0.49299999999999999</c:v>
                </c:pt>
                <c:pt idx="12">
                  <c:v>0.52700000000000002</c:v>
                </c:pt>
                <c:pt idx="13">
                  <c:v>0.44</c:v>
                </c:pt>
                <c:pt idx="15">
                  <c:v>0.52400000000000002</c:v>
                </c:pt>
                <c:pt idx="17">
                  <c:v>0.52400000000000002</c:v>
                </c:pt>
                <c:pt idx="18">
                  <c:v>0.252</c:v>
                </c:pt>
                <c:pt idx="19">
                  <c:v>0.29299999999999998</c:v>
                </c:pt>
                <c:pt idx="23">
                  <c:v>0.52</c:v>
                </c:pt>
                <c:pt idx="24">
                  <c:v>0.53100000000000003</c:v>
                </c:pt>
                <c:pt idx="26">
                  <c:v>0.53600000000000003</c:v>
                </c:pt>
                <c:pt idx="27">
                  <c:v>0.54200000000000004</c:v>
                </c:pt>
                <c:pt idx="28">
                  <c:v>0.52900000000000003</c:v>
                </c:pt>
                <c:pt idx="29">
                  <c:v>0.53700000000000003</c:v>
                </c:pt>
                <c:pt idx="30">
                  <c:v>0.53100000000000003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B0-4245-9F73-0CB63A86A6A6}"/>
            </c:ext>
          </c:extLst>
        </c:ser>
        <c:ser>
          <c:idx val="1"/>
          <c:order val="1"/>
          <c:tx>
            <c:v>RF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Sheet1!$O$38:$O$48</c:f>
              <c:numCache>
                <c:formatCode>General</c:formatCode>
                <c:ptCount val="11"/>
                <c:pt idx="0">
                  <c:v>0.98703172758189162</c:v>
                </c:pt>
                <c:pt idx="1">
                  <c:v>0.35723084824371187</c:v>
                </c:pt>
                <c:pt idx="2">
                  <c:v>0.98466577029260316</c:v>
                </c:pt>
                <c:pt idx="3">
                  <c:v>0.48718288036988566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Sheet1!$P$38:$P$48</c:f>
              <c:numCache>
                <c:formatCode>General</c:formatCode>
                <c:ptCount val="11"/>
                <c:pt idx="0">
                  <c:v>0.217</c:v>
                </c:pt>
                <c:pt idx="3">
                  <c:v>0.254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C7-DC46-BFD8-1A0022AC0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423760"/>
        <c:axId val="422425664"/>
      </c:scatterChart>
      <c:valAx>
        <c:axId val="422423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Validation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25664"/>
        <c:crosses val="autoZero"/>
        <c:crossBetween val="midCat"/>
      </c:valAx>
      <c:valAx>
        <c:axId val="42242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2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Sheet1!$C$4:$C$18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</c:numCache>
            </c:numRef>
          </c:xVal>
          <c:yVal>
            <c:numRef>
              <c:f>Sheet1!$P$4:$P$18</c:f>
              <c:numCache>
                <c:formatCode>General</c:formatCode>
                <c:ptCount val="15"/>
                <c:pt idx="0">
                  <c:v>0.33600000000000002</c:v>
                </c:pt>
                <c:pt idx="1">
                  <c:v>0.35599999999999998</c:v>
                </c:pt>
                <c:pt idx="4">
                  <c:v>0.309</c:v>
                </c:pt>
                <c:pt idx="5">
                  <c:v>0.29599999999999999</c:v>
                </c:pt>
                <c:pt idx="8">
                  <c:v>0.49299999999999999</c:v>
                </c:pt>
                <c:pt idx="12">
                  <c:v>0.52700000000000002</c:v>
                </c:pt>
                <c:pt idx="13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45-C446-BFF5-9A72A916835F}"/>
            </c:ext>
          </c:extLst>
        </c:ser>
        <c:ser>
          <c:idx val="1"/>
          <c:order val="1"/>
          <c:tx>
            <c:v>RF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Sheet1!$C$38:$C$48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200</c:v>
                </c:pt>
                <c:pt idx="3">
                  <c:v>200</c:v>
                </c:pt>
              </c:numCache>
            </c:numRef>
          </c:xVal>
          <c:yVal>
            <c:numRef>
              <c:f>Sheet1!$P$38:$P$48</c:f>
              <c:numCache>
                <c:formatCode>General</c:formatCode>
                <c:ptCount val="11"/>
                <c:pt idx="0">
                  <c:v>0.217</c:v>
                </c:pt>
                <c:pt idx="3">
                  <c:v>0.254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45-C446-BFF5-9A72A9168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423760"/>
        <c:axId val="422425664"/>
      </c:scatterChart>
      <c:valAx>
        <c:axId val="42242376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 size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25664"/>
        <c:crosses val="autoZero"/>
        <c:crossBetween val="midCat"/>
      </c:valAx>
      <c:valAx>
        <c:axId val="42242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423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5.5472970083633222E-2"/>
                  <c:y val="0.203887305878681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Sheet1!$W$4:$W$8</c:f>
              <c:numCache>
                <c:formatCode>General</c:formatCode>
                <c:ptCount val="5"/>
                <c:pt idx="0">
                  <c:v>5</c:v>
                </c:pt>
                <c:pt idx="1">
                  <c:v>200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Sheet1!$X$4:$X$8</c:f>
              <c:numCache>
                <c:formatCode>General</c:formatCode>
                <c:ptCount val="5"/>
                <c:pt idx="0">
                  <c:v>0.35599999999999998</c:v>
                </c:pt>
                <c:pt idx="1">
                  <c:v>0.49299999999999999</c:v>
                </c:pt>
                <c:pt idx="2">
                  <c:v>0.52700000000000002</c:v>
                </c:pt>
                <c:pt idx="3">
                  <c:v>0.52400000000000002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02-F94A-BAC3-E703602BC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9147312"/>
        <c:axId val="919149024"/>
      </c:scatterChart>
      <c:valAx>
        <c:axId val="91914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49024"/>
        <c:crosses val="autoZero"/>
        <c:crossBetween val="midCat"/>
      </c:valAx>
      <c:valAx>
        <c:axId val="91914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4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NN</a:t>
            </a:r>
            <a:r>
              <a:rPr lang="en-US" baseline="0"/>
              <a:t>4, vary train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Sheet1!$D$73:$D$75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10</c:v>
                </c:pt>
              </c:numCache>
            </c:numRef>
          </c:xVal>
          <c:yVal>
            <c:numRef>
              <c:f>Sheet1!$J$73:$J$75</c:f>
              <c:numCache>
                <c:formatCode>General</c:formatCode>
                <c:ptCount val="3"/>
                <c:pt idx="0">
                  <c:v>0.18848000000000001</c:v>
                </c:pt>
                <c:pt idx="1">
                  <c:v>0.22025</c:v>
                </c:pt>
                <c:pt idx="2">
                  <c:v>0.19697000000000001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F-A243-B8AF-70DC9A6CC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900240"/>
        <c:axId val="984901952"/>
      </c:scatterChart>
      <c:valAx>
        <c:axId val="98490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01952"/>
        <c:crosses val="autoZero"/>
        <c:crossBetween val="midCat"/>
      </c:valAx>
      <c:valAx>
        <c:axId val="9849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0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</a:t>
            </a:r>
            <a:r>
              <a:rPr lang="en-US" baseline="0"/>
              <a:t>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(Sheet1!$A$69,Sheet1!$A$74,Sheet1!$A$77)</c:f>
              <c:strCache>
                <c:ptCount val="3"/>
                <c:pt idx="0">
                  <c:v>CNN1d</c:v>
                </c:pt>
                <c:pt idx="1">
                  <c:v>NN4</c:v>
                </c:pt>
                <c:pt idx="2">
                  <c:v>NN5</c:v>
                </c:pt>
              </c:strCache>
            </c:strRef>
          </c:cat>
          <c:val>
            <c:numRef>
              <c:f>(Sheet1!$J$69,Sheet1!$J$74,Sheet1!$J$77)</c:f>
              <c:numCache>
                <c:formatCode>General</c:formatCode>
                <c:ptCount val="3"/>
                <c:pt idx="0">
                  <c:v>0.18509999999999999</c:v>
                </c:pt>
                <c:pt idx="1">
                  <c:v>0.22025</c:v>
                </c:pt>
                <c:pt idx="2">
                  <c:v>0.19400999999999999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33-6E40-A1AF-D6659417D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900240"/>
        <c:axId val="984901952"/>
      </c:lineChart>
      <c:catAx>
        <c:axId val="98490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01952"/>
        <c:crosses val="autoZero"/>
        <c:auto val="1"/>
        <c:lblAlgn val="ctr"/>
        <c:lblOffset val="100"/>
        <c:noMultiLvlLbl val="0"/>
      </c:catAx>
      <c:valAx>
        <c:axId val="9849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90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366183</xdr:colOff>
      <xdr:row>5</xdr:row>
      <xdr:rowOff>59171</xdr:rowOff>
    </xdr:from>
    <xdr:to>
      <xdr:col>21</xdr:col>
      <xdr:colOff>558799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1D5CD-537D-BA60-3C0D-2E7CC11DD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38100</xdr:colOff>
      <xdr:row>44</xdr:row>
      <xdr:rowOff>0</xdr:rowOff>
    </xdr:from>
    <xdr:to>
      <xdr:col>22</xdr:col>
      <xdr:colOff>67733</xdr:colOff>
      <xdr:row>57</xdr:row>
      <xdr:rowOff>106822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A85594-6578-E343-81BF-1BEF78C5A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326956</xdr:colOff>
      <xdr:row>2</xdr:row>
      <xdr:rowOff>34895</xdr:rowOff>
    </xdr:from>
    <xdr:to>
      <xdr:col>30</xdr:col>
      <xdr:colOff>744751</xdr:colOff>
      <xdr:row>15</xdr:row>
      <xdr:rowOff>155011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F79247-DBDC-3DAA-35DD-28A508B7D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463550</xdr:colOff>
      <xdr:row>83</xdr:row>
      <xdr:rowOff>50800</xdr:rowOff>
    </xdr:from>
    <xdr:to>
      <xdr:col>3</xdr:col>
      <xdr:colOff>120650</xdr:colOff>
      <xdr:row>96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EE86A0-65FE-527B-E093-26AB79234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83</xdr:row>
      <xdr:rowOff>0</xdr:rowOff>
    </xdr:from>
    <xdr:to>
      <xdr:col>9</xdr:col>
      <xdr:colOff>444500</xdr:colOff>
      <xdr:row>96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66C0DD-8A3A-1C4B-B770-25A5E0F66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9F1C-0001-064A-BF79-173F5E0BB267}">
  <dimension ref="A1:Y81"/>
  <sheetViews>
    <sheetView tabSelected="1" topLeftCell="A63" zoomScaleNormal="100" workbookViewId="0">
      <selection activeCell="A76" sqref="A76"/>
    </sheetView>
  </sheetViews>
  <sheetFormatPr baseColWidth="10" defaultRowHeight="16" x14ac:dyDescent="0.2"/>
  <cols>
    <col min="1" max="1" width="36.5" style="4" customWidth="1"/>
    <col min="2" max="2" width="10.83203125" style="4"/>
    <col min="3" max="3" width="17.1640625" style="4" customWidth="1"/>
    <col min="4" max="9" width="10.83203125" style="4"/>
    <col min="10" max="10" width="16" style="4" customWidth="1"/>
    <col min="11" max="15" width="10.83203125" style="4"/>
    <col min="16" max="16" width="10.83203125" style="6"/>
    <col min="17" max="17" width="10.83203125" style="10"/>
  </cols>
  <sheetData>
    <row r="1" spans="1:25" x14ac:dyDescent="0.2">
      <c r="A1" s="4" t="s">
        <v>38</v>
      </c>
    </row>
    <row r="2" spans="1:25" x14ac:dyDescent="0.2">
      <c r="A2" s="2" t="s">
        <v>12</v>
      </c>
      <c r="B2" s="2" t="s">
        <v>17</v>
      </c>
      <c r="C2" s="3" t="s">
        <v>15</v>
      </c>
      <c r="D2" s="3" t="s">
        <v>0</v>
      </c>
      <c r="E2" s="3" t="s">
        <v>1</v>
      </c>
      <c r="F2" s="3" t="s">
        <v>16</v>
      </c>
      <c r="G2" s="7" t="s">
        <v>2</v>
      </c>
      <c r="H2" s="7"/>
      <c r="I2" s="7"/>
      <c r="J2" s="7"/>
      <c r="K2" s="8" t="s">
        <v>6</v>
      </c>
      <c r="L2" s="8"/>
      <c r="M2" s="8"/>
      <c r="N2" s="8"/>
      <c r="O2" s="8"/>
      <c r="P2" s="16" t="s">
        <v>8</v>
      </c>
      <c r="S2" t="s">
        <v>5</v>
      </c>
      <c r="T2" t="s">
        <v>4</v>
      </c>
      <c r="U2" t="s">
        <v>3</v>
      </c>
    </row>
    <row r="3" spans="1:25" x14ac:dyDescent="0.2">
      <c r="A3" s="3"/>
      <c r="B3" s="3"/>
      <c r="C3" s="3"/>
      <c r="D3" s="3"/>
      <c r="E3" s="3"/>
      <c r="F3" s="3"/>
      <c r="G3" s="7" t="s">
        <v>5</v>
      </c>
      <c r="H3" s="7" t="s">
        <v>4</v>
      </c>
      <c r="I3" s="7" t="s">
        <v>3</v>
      </c>
      <c r="J3" s="7" t="s">
        <v>7</v>
      </c>
      <c r="K3" s="8" t="s">
        <v>5</v>
      </c>
      <c r="L3" s="8" t="s">
        <v>4</v>
      </c>
      <c r="M3" s="8" t="s">
        <v>3</v>
      </c>
      <c r="N3" s="8" t="s">
        <v>7</v>
      </c>
      <c r="O3" s="8" t="s">
        <v>11</v>
      </c>
      <c r="P3" s="16"/>
      <c r="R3" t="s">
        <v>9</v>
      </c>
      <c r="S3">
        <f>558859</f>
        <v>558859</v>
      </c>
      <c r="T3">
        <f xml:space="preserve"> 558142</f>
        <v>558142</v>
      </c>
      <c r="U3">
        <f>557895</f>
        <v>557895</v>
      </c>
      <c r="W3" t="s">
        <v>15</v>
      </c>
      <c r="X3" t="s">
        <v>19</v>
      </c>
      <c r="Y3" t="s">
        <v>20</v>
      </c>
    </row>
    <row r="4" spans="1:25" x14ac:dyDescent="0.2">
      <c r="A4" s="4" t="s">
        <v>13</v>
      </c>
      <c r="B4" s="4">
        <v>1024</v>
      </c>
      <c r="C4" s="4">
        <v>5</v>
      </c>
      <c r="D4" s="4">
        <v>0.05</v>
      </c>
      <c r="E4" s="4" t="b">
        <v>1</v>
      </c>
      <c r="F4" s="4">
        <v>0.3</v>
      </c>
      <c r="G4" s="4">
        <f>0.999925282188837</f>
        <v>0.99992528218883703</v>
      </c>
      <c r="H4" s="4">
        <f>0.999632647512965</f>
        <v>0.99963264751296499</v>
      </c>
      <c r="I4" s="4">
        <f>0.999994197473292</f>
        <v>0.99999419747329199</v>
      </c>
      <c r="J4" s="4">
        <f>AVERAGE(G4:I4)</f>
        <v>0.99985070905836471</v>
      </c>
      <c r="K4" s="4">
        <f>0.610455211162764</f>
        <v>0.61045521116276402</v>
      </c>
      <c r="L4" s="4">
        <f>0.408895372500216</f>
        <v>0.40889537250021601</v>
      </c>
      <c r="M4" s="4">
        <f>0.823943959530191</f>
        <v>0.82394395953019095</v>
      </c>
      <c r="N4" s="4">
        <f>AVERAGE(K4:M4)</f>
        <v>0.61443151439772359</v>
      </c>
      <c r="O4" s="4">
        <f>K4*$S$4+L4*$T$4+M4*$U$4</f>
        <v>0.61439891501043808</v>
      </c>
      <c r="P4" s="6">
        <v>0.33600000000000002</v>
      </c>
      <c r="R4" t="s">
        <v>10</v>
      </c>
      <c r="S4">
        <f>S3/SUM($S3:$U3)</f>
        <v>0.33366788146846132</v>
      </c>
      <c r="T4">
        <f>T3/SUM($S3:$U3)</f>
        <v>0.33323979518728325</v>
      </c>
      <c r="U4">
        <f>U3/SUM($S3:$U3)</f>
        <v>0.33309232334425543</v>
      </c>
      <c r="W4">
        <v>5</v>
      </c>
      <c r="X4">
        <v>0.35599999999999998</v>
      </c>
      <c r="Y4" s="14">
        <f t="shared" ref="Y4:Y8" si="0">0.0259 * LN(W4) + 0.3302</f>
        <v>0.37188444193204317</v>
      </c>
    </row>
    <row r="5" spans="1:25" s="1" customFormat="1" x14ac:dyDescent="0.2">
      <c r="A5" s="9" t="s">
        <v>13</v>
      </c>
      <c r="B5" s="9">
        <v>1024</v>
      </c>
      <c r="C5" s="9">
        <v>5</v>
      </c>
      <c r="D5" s="9">
        <v>0.05</v>
      </c>
      <c r="E5" s="9" t="b">
        <v>0</v>
      </c>
      <c r="F5" s="9">
        <v>0.3</v>
      </c>
      <c r="G5" s="9">
        <f>0.993712433077593</f>
        <v>0.99371243307759305</v>
      </c>
      <c r="H5" s="9">
        <f>0.990978390348034</f>
        <v>0.99097839034803403</v>
      </c>
      <c r="I5" s="9">
        <v>1</v>
      </c>
      <c r="J5" s="9">
        <f t="shared" ref="J5:J36" si="1">AVERAGE(G5:I5)</f>
        <v>0.99489694114187566</v>
      </c>
      <c r="K5" s="9">
        <f>0.740655858881166</f>
        <v>0.74065585888116603</v>
      </c>
      <c r="L5" s="9">
        <f>0.536404793380222</f>
        <v>0.53640479338022196</v>
      </c>
      <c r="M5" s="9">
        <f>0.792699254929361</f>
        <v>0.792699254929361</v>
      </c>
      <c r="N5" s="9">
        <f t="shared" ref="N5" si="2">AVERAGE(K5:M5)</f>
        <v>0.68991996906358299</v>
      </c>
      <c r="O5" s="9">
        <f t="shared" ref="O5" si="3">K5*$S$4+L5*$T$4+M5*$U$4</f>
        <v>0.68992653135126558</v>
      </c>
      <c r="P5" s="15">
        <v>0.35599999999999998</v>
      </c>
      <c r="Q5" s="11"/>
      <c r="W5" s="1">
        <v>200</v>
      </c>
      <c r="X5" s="1">
        <f>0.493</f>
        <v>0.49299999999999999</v>
      </c>
      <c r="Y5" s="14">
        <f>0.0259 * LN(W5) + 0.3302</f>
        <v>0.46742641979359412</v>
      </c>
    </row>
    <row r="6" spans="1:25" x14ac:dyDescent="0.2">
      <c r="A6" s="4" t="s">
        <v>13</v>
      </c>
      <c r="B6" s="4">
        <v>1024</v>
      </c>
      <c r="C6" s="4">
        <v>5</v>
      </c>
      <c r="D6" s="5">
        <v>0.05</v>
      </c>
      <c r="E6" s="5" t="b">
        <v>0</v>
      </c>
      <c r="F6" s="6">
        <v>0.5</v>
      </c>
      <c r="G6" s="5"/>
      <c r="H6" s="5"/>
      <c r="I6" s="5"/>
      <c r="J6" s="4" t="e">
        <f t="shared" si="1"/>
        <v>#DIV/0!</v>
      </c>
      <c r="K6" s="5">
        <f>0.383347927963991</f>
        <v>0.38334792796399098</v>
      </c>
      <c r="L6" s="5">
        <f>0.328716190022644</f>
        <v>0.32871619002264402</v>
      </c>
      <c r="M6" s="5">
        <f>0.819466184606506</f>
        <v>0.819466184606506</v>
      </c>
      <c r="N6" s="5">
        <f t="shared" ref="N6" si="4">AVERAGE(K6:M6)</f>
        <v>0.51051010086438031</v>
      </c>
      <c r="O6" s="5">
        <f t="shared" ref="O6" si="5">K6*$S$4+L6*$T$4+M6*$U$4</f>
        <v>0.51041010215959282</v>
      </c>
      <c r="W6">
        <v>1000</v>
      </c>
      <c r="X6">
        <f>0.527</f>
        <v>0.52700000000000002</v>
      </c>
      <c r="Y6" s="14">
        <f t="shared" si="0"/>
        <v>0.50911086172563735</v>
      </c>
    </row>
    <row r="7" spans="1:25" x14ac:dyDescent="0.2">
      <c r="A7" s="4" t="s">
        <v>13</v>
      </c>
      <c r="B7" s="4">
        <v>1024</v>
      </c>
      <c r="C7" s="4">
        <v>5</v>
      </c>
      <c r="D7" s="5">
        <v>0.05</v>
      </c>
      <c r="E7" s="5" t="b">
        <v>0</v>
      </c>
      <c r="F7" s="6">
        <v>0.1</v>
      </c>
      <c r="G7" s="6">
        <f>0.995769859605083</f>
        <v>0.99576985960508302</v>
      </c>
      <c r="H7" s="6">
        <f>0.957908085603238</f>
        <v>0.95790808560323804</v>
      </c>
      <c r="I7" s="6">
        <v>1</v>
      </c>
      <c r="J7" s="6">
        <f t="shared" si="1"/>
        <v>0.98455931506944039</v>
      </c>
      <c r="K7" s="6">
        <f>0.588220321046924</f>
        <v>0.58822032104692401</v>
      </c>
      <c r="L7" s="6">
        <f>0.344176073841441</f>
        <v>0.344176073841441</v>
      </c>
      <c r="M7" s="6">
        <f xml:space="preserve"> 0.817356735613314</f>
        <v>0.81735673561331401</v>
      </c>
      <c r="N7" s="6">
        <f t="shared" ref="N7" si="6">AVERAGE(K7:M7)</f>
        <v>0.58325104350055967</v>
      </c>
      <c r="O7" s="6">
        <f t="shared" ref="O7" si="7">K7*$S$4+L7*$T$4+M7*$U$4</f>
        <v>0.58321864678222546</v>
      </c>
      <c r="W7">
        <v>5000</v>
      </c>
      <c r="X7">
        <v>0.52400000000000002</v>
      </c>
      <c r="Y7" s="14">
        <f t="shared" si="0"/>
        <v>0.55079530365768059</v>
      </c>
    </row>
    <row r="8" spans="1:25" x14ac:dyDescent="0.2">
      <c r="A8" s="4" t="s">
        <v>13</v>
      </c>
      <c r="B8" s="4">
        <v>1024</v>
      </c>
      <c r="C8" s="4">
        <v>5</v>
      </c>
      <c r="D8" s="4">
        <v>0.2</v>
      </c>
      <c r="E8" s="4" t="b">
        <v>1</v>
      </c>
      <c r="F8" s="4">
        <v>0.3</v>
      </c>
      <c r="G8" s="4">
        <f>0.999846840337831</f>
        <v>0.999846840337831</v>
      </c>
      <c r="H8" s="4">
        <f>0.999347348166029</f>
        <v>0.99934734816602899</v>
      </c>
      <c r="I8" s="4">
        <f>0.999729716066374</f>
        <v>0.99972971606637395</v>
      </c>
      <c r="J8" s="4">
        <f t="shared" si="1"/>
        <v>0.99964130152341124</v>
      </c>
      <c r="K8" s="4">
        <f>0.86103918621985</f>
        <v>0.86103918621984998</v>
      </c>
      <c r="L8" s="4">
        <f>0.77520326812769</f>
        <v>0.77520326812769003</v>
      </c>
      <c r="M8" s="4">
        <f>0.877094798286403</f>
        <v>0.87709479828640302</v>
      </c>
      <c r="N8" s="4">
        <f t="shared" ref="N8:N13" si="8">AVERAGE(K8:M8)</f>
        <v>0.83777908421131431</v>
      </c>
      <c r="O8" s="4">
        <f t="shared" ref="O8:O13" si="9">K8*$S$4+L8*$T$4+M8*$U$4</f>
        <v>0.83778324358106837</v>
      </c>
      <c r="P8" s="6">
        <v>0.309</v>
      </c>
      <c r="W8">
        <v>10000</v>
      </c>
      <c r="Y8" s="14">
        <f t="shared" si="0"/>
        <v>0.5687478156341832</v>
      </c>
    </row>
    <row r="9" spans="1:25" x14ac:dyDescent="0.2">
      <c r="A9" s="4" t="s">
        <v>13</v>
      </c>
      <c r="B9" s="4">
        <v>1024</v>
      </c>
      <c r="C9" s="4">
        <v>5</v>
      </c>
      <c r="D9" s="5">
        <v>0.2</v>
      </c>
      <c r="E9" s="5" t="b">
        <v>0</v>
      </c>
      <c r="F9" s="5">
        <v>0.3</v>
      </c>
      <c r="G9" s="5">
        <f>0.998464081565291</f>
        <v>0.99846408156529098</v>
      </c>
      <c r="H9" s="5">
        <f>0.986828059584501</f>
        <v>0.98682805958450104</v>
      </c>
      <c r="I9" s="5">
        <f xml:space="preserve"> 0.993676959813452</f>
        <v>0.99367695981345205</v>
      </c>
      <c r="J9" s="4">
        <f t="shared" si="1"/>
        <v>0.99298970032108136</v>
      </c>
      <c r="K9" s="5">
        <f>0.88059189453176</f>
        <v>0.88059189453176001</v>
      </c>
      <c r="L9" s="5">
        <f>0.725926283933027</f>
        <v>0.72592628393302705</v>
      </c>
      <c r="M9" s="5">
        <f>0.913787266408767</f>
        <v>0.91378726640876695</v>
      </c>
      <c r="N9" s="5">
        <f t="shared" si="8"/>
        <v>0.8401018149578513</v>
      </c>
      <c r="O9" s="5">
        <f t="shared" si="9"/>
        <v>0.84010828167611096</v>
      </c>
      <c r="P9" s="6">
        <v>0.29599999999999999</v>
      </c>
    </row>
    <row r="10" spans="1:25" x14ac:dyDescent="0.2">
      <c r="A10" s="4" t="s">
        <v>13</v>
      </c>
      <c r="B10" s="4">
        <v>1024</v>
      </c>
      <c r="C10" s="4">
        <v>5</v>
      </c>
      <c r="D10" s="5">
        <v>0.1</v>
      </c>
      <c r="E10" s="5" t="b">
        <v>0</v>
      </c>
      <c r="F10" s="5">
        <v>0.3</v>
      </c>
      <c r="G10" s="5">
        <f>0.9982043464643</f>
        <v>0.99820434646430001</v>
      </c>
      <c r="H10" s="5">
        <f>0.99646962302285</f>
        <v>0.99646962302285003</v>
      </c>
      <c r="I10" s="5">
        <f>0.995230202828944</f>
        <v>0.99523020282894403</v>
      </c>
      <c r="J10" s="4">
        <f t="shared" si="1"/>
        <v>0.99663472410536469</v>
      </c>
      <c r="K10" s="5">
        <f>0.768147495703443</f>
        <v>0.76814749570344298</v>
      </c>
      <c r="L10" s="5">
        <f>0.598634993738316</f>
        <v>0.59863499373831597</v>
      </c>
      <c r="M10" s="5">
        <f xml:space="preserve"> 0.811405069575976</f>
        <v>0.81140506957597602</v>
      </c>
      <c r="N10" s="5">
        <f t="shared" si="8"/>
        <v>0.72606251967257818</v>
      </c>
      <c r="O10" s="5">
        <f t="shared" si="9"/>
        <v>0.72606795005033797</v>
      </c>
      <c r="P10" s="17"/>
    </row>
    <row r="11" spans="1:25" x14ac:dyDescent="0.2">
      <c r="A11" s="4" t="s">
        <v>13</v>
      </c>
      <c r="B11" s="4">
        <v>1024</v>
      </c>
      <c r="C11" s="4">
        <v>200</v>
      </c>
      <c r="D11" s="4">
        <v>0.05</v>
      </c>
      <c r="E11" s="4" t="b">
        <v>1</v>
      </c>
      <c r="F11" s="4">
        <v>0.3</v>
      </c>
      <c r="K11" s="4">
        <f>0.784052812213793</f>
        <v>0.78405281221379297</v>
      </c>
      <c r="L11" s="4">
        <f>0.629839055432914</f>
        <v>0.62983905543291396</v>
      </c>
      <c r="M11" s="4">
        <f>0.923270946193032</f>
        <v>0.92327094619303196</v>
      </c>
      <c r="N11" s="4">
        <f t="shared" si="8"/>
        <v>0.779054271279913</v>
      </c>
      <c r="O11" s="4">
        <f t="shared" si="9"/>
        <v>0.77903514318786793</v>
      </c>
    </row>
    <row r="12" spans="1:25" x14ac:dyDescent="0.2">
      <c r="A12" s="4" t="s">
        <v>13</v>
      </c>
      <c r="B12" s="4">
        <v>1024</v>
      </c>
      <c r="C12" s="4">
        <v>200</v>
      </c>
      <c r="D12" s="5">
        <v>0.05</v>
      </c>
      <c r="E12" s="5" t="b">
        <v>0</v>
      </c>
      <c r="F12" s="4">
        <v>0.3</v>
      </c>
      <c r="G12" s="5"/>
      <c r="H12" s="5"/>
      <c r="I12" s="5"/>
      <c r="K12" s="5">
        <f>0.80028751201948</f>
        <v>0.80028751201948001</v>
      </c>
      <c r="L12" s="5">
        <f>0.632726992460093</f>
        <v>0.63272699246009301</v>
      </c>
      <c r="M12" s="5">
        <f xml:space="preserve"> 0.911104143109181</f>
        <v>0.91110414310918098</v>
      </c>
      <c r="N12" s="5">
        <f t="shared" si="8"/>
        <v>0.7813728825295847</v>
      </c>
      <c r="O12" s="5">
        <f t="shared" si="9"/>
        <v>0.78136184791488694</v>
      </c>
      <c r="P12" s="17">
        <v>0.49299999999999999</v>
      </c>
    </row>
    <row r="13" spans="1:25" x14ac:dyDescent="0.2">
      <c r="A13" s="4" t="s">
        <v>13</v>
      </c>
      <c r="B13" s="4">
        <v>1024</v>
      </c>
      <c r="C13" s="4">
        <v>200</v>
      </c>
      <c r="D13" s="4">
        <v>5.4000000000000003E-3</v>
      </c>
      <c r="E13" s="4" t="b">
        <v>1</v>
      </c>
      <c r="F13" s="4">
        <v>0.3</v>
      </c>
      <c r="K13" s="4">
        <f>0.330173556301944</f>
        <v>0.330173556301944</v>
      </c>
      <c r="L13" s="4">
        <f>0.151788121131747</f>
        <v>0.151788121131747</v>
      </c>
      <c r="M13" s="4">
        <f xml:space="preserve"> 0.529241698985653</f>
        <v>0.52924169898565299</v>
      </c>
      <c r="N13" s="4">
        <f t="shared" si="8"/>
        <v>0.33706779213978133</v>
      </c>
      <c r="O13" s="4">
        <f t="shared" si="9"/>
        <v>0.33703650057177553</v>
      </c>
    </row>
    <row r="14" spans="1:25" x14ac:dyDescent="0.2">
      <c r="A14" s="4" t="s">
        <v>13</v>
      </c>
      <c r="B14" s="4">
        <v>1024</v>
      </c>
      <c r="C14" s="4">
        <v>200</v>
      </c>
      <c r="D14" s="4">
        <v>5.4000000000000003E-3</v>
      </c>
      <c r="E14" s="4" t="b">
        <v>0</v>
      </c>
      <c r="F14" s="4">
        <v>0.3</v>
      </c>
      <c r="K14" s="4">
        <f>0.368109178285506</f>
        <v>0.36810917828550599</v>
      </c>
      <c r="L14" s="4">
        <f>0.222856841644154</f>
        <v>0.22285684164415401</v>
      </c>
      <c r="M14" s="4">
        <f>0.534567232236717</f>
        <v>0.53456723223671698</v>
      </c>
      <c r="N14" s="4">
        <f t="shared" ref="N14:N17" si="10">AVERAGE(K14:M14)</f>
        <v>0.37517775072212567</v>
      </c>
      <c r="O14" s="4">
        <f t="shared" ref="O14:O19" si="11">K14*$S$4+L14*$T$4+M14*$U$4</f>
        <v>0.37515121930263984</v>
      </c>
    </row>
    <row r="15" spans="1:25" x14ac:dyDescent="0.2">
      <c r="A15" s="4" t="s">
        <v>13</v>
      </c>
      <c r="B15" s="4">
        <v>1024</v>
      </c>
      <c r="C15" s="4">
        <v>1000</v>
      </c>
      <c r="D15" s="4">
        <v>0.05</v>
      </c>
      <c r="E15" s="4" t="b">
        <v>1</v>
      </c>
      <c r="F15" s="4">
        <v>0.3</v>
      </c>
      <c r="K15" s="4">
        <f>0.789779164524481</f>
        <v>0.78977916452448105</v>
      </c>
      <c r="M15" s="4">
        <f>0.912605344219477</f>
        <v>0.91260534421947703</v>
      </c>
      <c r="Q15" s="11"/>
    </row>
    <row r="16" spans="1:25" s="1" customFormat="1" x14ac:dyDescent="0.2">
      <c r="A16" s="5" t="s">
        <v>13</v>
      </c>
      <c r="B16" s="5">
        <v>1024</v>
      </c>
      <c r="C16" s="5">
        <v>1000</v>
      </c>
      <c r="D16" s="5">
        <v>0.05</v>
      </c>
      <c r="E16" s="5" t="b">
        <v>0</v>
      </c>
      <c r="F16" s="5">
        <v>0.3</v>
      </c>
      <c r="G16" s="5"/>
      <c r="H16" s="5"/>
      <c r="I16" s="5"/>
      <c r="J16" s="4"/>
      <c r="K16" s="5">
        <f>0.832596072776734</f>
        <v>0.83259607277673398</v>
      </c>
      <c r="L16" s="5">
        <f xml:space="preserve"> 0.683411079995071</f>
        <v>0.683411079995071</v>
      </c>
      <c r="M16" s="5">
        <f>0.931861940622104</f>
        <v>0.93186194062210403</v>
      </c>
      <c r="N16" s="5">
        <f t="shared" si="10"/>
        <v>0.81595636446463649</v>
      </c>
      <c r="O16" s="5">
        <f t="shared" si="11"/>
        <v>0.8159463948865544</v>
      </c>
      <c r="P16" s="6">
        <v>0.52700000000000002</v>
      </c>
      <c r="Q16" s="11"/>
    </row>
    <row r="17" spans="1:17" x14ac:dyDescent="0.2">
      <c r="A17" s="4" t="s">
        <v>13</v>
      </c>
      <c r="B17" s="4">
        <v>1024</v>
      </c>
      <c r="C17" s="4">
        <v>1000</v>
      </c>
      <c r="D17" s="4">
        <v>5.4000000000000003E-3</v>
      </c>
      <c r="E17" s="4" t="b">
        <v>0</v>
      </c>
      <c r="F17" s="4">
        <v>0.3</v>
      </c>
      <c r="K17" s="4">
        <f>0.338112707329243</f>
        <v>0.33811270732924298</v>
      </c>
      <c r="L17" s="4">
        <f>0.186714770519527</f>
        <v>0.18671477051952701</v>
      </c>
      <c r="M17" s="4">
        <f>0.546764383073745</f>
        <v>0.54676438307374498</v>
      </c>
      <c r="N17" s="4">
        <f t="shared" si="10"/>
        <v>0.35719728697417169</v>
      </c>
      <c r="O17" s="4">
        <f t="shared" si="11"/>
        <v>0.35716116131840436</v>
      </c>
      <c r="P17" s="6">
        <v>0.44</v>
      </c>
    </row>
    <row r="18" spans="1:17" x14ac:dyDescent="0.2">
      <c r="A18" s="4" t="s">
        <v>13</v>
      </c>
      <c r="B18" s="4">
        <v>1024</v>
      </c>
      <c r="C18" s="4">
        <v>1000</v>
      </c>
      <c r="D18" s="4">
        <v>5.4000000000000003E-3</v>
      </c>
      <c r="E18" s="4" t="b">
        <v>1</v>
      </c>
      <c r="F18" s="4">
        <v>0.3</v>
      </c>
      <c r="L18" s="4">
        <f>0.143111402015085</f>
        <v>0.14311140201508499</v>
      </c>
      <c r="M18" s="4">
        <f>0.523735990350868</f>
        <v>0.52373599035086804</v>
      </c>
      <c r="N18" s="4">
        <f t="shared" ref="N18:N25" si="12">AVERAGE(K18:M18)</f>
        <v>0.33342369618297651</v>
      </c>
      <c r="O18" s="4">
        <f t="shared" ref="O18:O25" si="13">K18*$S$4+L18*$T$4+M18*$U$4</f>
        <v>0.22214285214144708</v>
      </c>
    </row>
    <row r="19" spans="1:17" s="1" customFormat="1" x14ac:dyDescent="0.2">
      <c r="A19" s="5" t="s">
        <v>13</v>
      </c>
      <c r="B19" s="5">
        <v>1024</v>
      </c>
      <c r="C19" s="5">
        <v>5000</v>
      </c>
      <c r="D19" s="5">
        <v>0.05</v>
      </c>
      <c r="E19" s="5" t="b">
        <v>0</v>
      </c>
      <c r="F19" s="5">
        <v>0.3</v>
      </c>
      <c r="G19" s="5">
        <f>0.840303638248902</f>
        <v>0.84030363824890197</v>
      </c>
      <c r="H19" s="5">
        <f>0.693831498081909</f>
        <v>0.69383149808190903</v>
      </c>
      <c r="I19" s="5">
        <f>0.931691798469998</f>
        <v>0.93169179846999794</v>
      </c>
      <c r="J19" s="4"/>
      <c r="K19" s="5">
        <f>0.834333367054326</f>
        <v>0.83433336705432604</v>
      </c>
      <c r="L19" s="5">
        <f>0.68919480746967</f>
        <v>0.68919480746966999</v>
      </c>
      <c r="M19" s="5">
        <f>0.928238389274243</f>
        <v>0.92823838927424296</v>
      </c>
      <c r="N19" s="5">
        <f t="shared" si="12"/>
        <v>0.81725552126607959</v>
      </c>
      <c r="O19" s="4">
        <f t="shared" si="11"/>
        <v>0.81724646520948396</v>
      </c>
      <c r="P19" s="6">
        <v>0.52400000000000002</v>
      </c>
      <c r="Q19" s="11"/>
    </row>
    <row r="20" spans="1:17" s="1" customFormat="1" x14ac:dyDescent="0.2">
      <c r="A20" s="5" t="s">
        <v>13</v>
      </c>
      <c r="B20" s="5">
        <v>1024</v>
      </c>
      <c r="C20" s="5">
        <v>10000</v>
      </c>
      <c r="D20" s="5">
        <v>0.05</v>
      </c>
      <c r="E20" s="5" t="b">
        <v>0</v>
      </c>
      <c r="F20" s="5">
        <v>0.3</v>
      </c>
      <c r="G20" s="5"/>
      <c r="H20" s="5"/>
      <c r="I20" s="5"/>
      <c r="J20" s="4"/>
      <c r="K20" s="5" t="s">
        <v>18</v>
      </c>
      <c r="L20" s="5"/>
      <c r="M20" s="5"/>
      <c r="N20" s="4"/>
      <c r="O20" s="4"/>
      <c r="P20" s="6"/>
      <c r="Q20" s="11"/>
    </row>
    <row r="21" spans="1:17" x14ac:dyDescent="0.2">
      <c r="A21" s="5" t="s">
        <v>13</v>
      </c>
      <c r="B21" s="5">
        <v>2048</v>
      </c>
      <c r="C21" s="5">
        <v>1000</v>
      </c>
      <c r="D21" s="5">
        <v>0.05</v>
      </c>
      <c r="E21" s="5" t="b">
        <v>0</v>
      </c>
      <c r="F21" s="5">
        <v>0.3</v>
      </c>
      <c r="G21" s="5">
        <f xml:space="preserve"> 0.883144568611694</f>
        <v>0.88314456861169399</v>
      </c>
      <c r="H21" s="5">
        <f>0.743979763226047</f>
        <v>0.74397976322604698</v>
      </c>
      <c r="I21" s="5">
        <f>0.954626359340326</f>
        <v>0.95462635934032603</v>
      </c>
      <c r="J21" s="5">
        <f t="shared" si="1"/>
        <v>0.8605835637260224</v>
      </c>
      <c r="K21" s="5">
        <f>0.845444791659982</f>
        <v>0.84544479165998199</v>
      </c>
      <c r="L21" s="5">
        <f>0.708304122107007</f>
        <v>0.70830412210700699</v>
      </c>
      <c r="M21" s="5">
        <f>0.931804332567485</f>
        <v>0.93180433256748496</v>
      </c>
      <c r="N21" s="5">
        <f t="shared" ref="N21" si="14">AVERAGE(K21:M21)</f>
        <v>0.82851774877815798</v>
      </c>
      <c r="O21" s="5">
        <f t="shared" ref="O21" si="15">K21*$S$4+L21*$T$4+M21*$U$4</f>
        <v>0.82850976315012503</v>
      </c>
      <c r="P21" s="6">
        <v>0.52400000000000002</v>
      </c>
    </row>
    <row r="22" spans="1:17" x14ac:dyDescent="0.2">
      <c r="D22" s="6"/>
      <c r="E22" s="6"/>
      <c r="F22" s="6"/>
      <c r="P22" s="6">
        <v>0.252</v>
      </c>
      <c r="Q22" s="10" t="s">
        <v>25</v>
      </c>
    </row>
    <row r="23" spans="1:17" x14ac:dyDescent="0.2">
      <c r="D23" s="6"/>
      <c r="E23" s="6"/>
      <c r="F23" s="6"/>
      <c r="P23" s="6">
        <v>0.29299999999999998</v>
      </c>
      <c r="Q23" s="10" t="s">
        <v>26</v>
      </c>
    </row>
    <row r="24" spans="1:17" x14ac:dyDescent="0.2">
      <c r="A24" s="4" t="s">
        <v>21</v>
      </c>
      <c r="B24" s="6">
        <v>1024</v>
      </c>
      <c r="C24" s="6">
        <v>5</v>
      </c>
      <c r="D24" s="6">
        <v>0.05</v>
      </c>
      <c r="E24" s="6" t="b">
        <v>0</v>
      </c>
      <c r="F24" s="6">
        <v>0.3</v>
      </c>
      <c r="G24" s="4">
        <f>0.966319970327501</f>
        <v>0.96631997032750105</v>
      </c>
      <c r="H24" s="4">
        <f>0.873234648433088</f>
        <v>0.87323464843308796</v>
      </c>
      <c r="I24" s="4">
        <f>0.982493949525038</f>
        <v>0.98249394952503799</v>
      </c>
      <c r="J24" s="4">
        <f t="shared" si="1"/>
        <v>0.94068285609520907</v>
      </c>
      <c r="K24" s="4">
        <f>0.43249869739483</f>
        <v>0.43249869739482999</v>
      </c>
      <c r="L24" s="4">
        <f>0.403946524515231</f>
        <v>0.403946524515231</v>
      </c>
      <c r="M24" s="4">
        <f xml:space="preserve"> 0.800896887353929</f>
        <v>0.80089688735392905</v>
      </c>
      <c r="N24" s="4">
        <f t="shared" si="12"/>
        <v>0.54578070308799675</v>
      </c>
      <c r="O24" s="4">
        <f t="shared" si="13"/>
        <v>0.54569458616157518</v>
      </c>
    </row>
    <row r="25" spans="1:17" x14ac:dyDescent="0.2">
      <c r="A25" s="4" t="s">
        <v>22</v>
      </c>
      <c r="B25" s="6">
        <v>1024</v>
      </c>
      <c r="C25" s="6">
        <v>5</v>
      </c>
      <c r="D25" s="6">
        <v>0.05</v>
      </c>
      <c r="E25" s="6" t="b">
        <v>0</v>
      </c>
      <c r="F25" s="6">
        <v>0.3</v>
      </c>
      <c r="G25" s="4">
        <f>0.969551211146211</f>
        <v>0.96955121114621101</v>
      </c>
      <c r="H25" s="4">
        <f>0.916845090550529</f>
        <v>0.91684509055052898</v>
      </c>
      <c r="I25" s="4">
        <f>0.995704963760519</f>
        <v>0.99570496376051898</v>
      </c>
      <c r="J25" s="4">
        <f t="shared" si="1"/>
        <v>0.96070042181908633</v>
      </c>
      <c r="K25" s="4">
        <f>0.595272013736132</f>
        <v>0.59527201373613203</v>
      </c>
      <c r="L25" s="4">
        <f xml:space="preserve"> 0.375500478031418</f>
        <v>0.37550047803141801</v>
      </c>
      <c r="M25" s="4">
        <f>0.880707415622535</f>
        <v>0.88070741562253496</v>
      </c>
      <c r="N25" s="4">
        <f t="shared" si="12"/>
        <v>0.61715996913002835</v>
      </c>
      <c r="O25" s="4">
        <f t="shared" si="13"/>
        <v>0.61711173336894154</v>
      </c>
    </row>
    <row r="26" spans="1:17" x14ac:dyDescent="0.2">
      <c r="A26" s="9" t="s">
        <v>23</v>
      </c>
      <c r="B26" s="9">
        <v>1024</v>
      </c>
      <c r="C26" s="9">
        <v>5</v>
      </c>
      <c r="D26" s="9">
        <v>0.05</v>
      </c>
      <c r="E26" s="9" t="b">
        <v>0</v>
      </c>
      <c r="F26" s="9">
        <v>0.3</v>
      </c>
      <c r="G26" s="9">
        <v>1</v>
      </c>
      <c r="H26" s="9">
        <v>1</v>
      </c>
      <c r="I26" s="9">
        <v>1</v>
      </c>
      <c r="J26" s="9">
        <f t="shared" si="1"/>
        <v>1</v>
      </c>
      <c r="K26" s="9">
        <f>0.544017215716647</f>
        <v>0.54401721571664696</v>
      </c>
      <c r="L26" s="9">
        <f>0.594654153045985</f>
        <v>0.59465415304598501</v>
      </c>
      <c r="M26" s="9">
        <f>0.876612058965</f>
        <v>0.87661205896500005</v>
      </c>
      <c r="N26" s="9">
        <f t="shared" ref="N26:N35" si="16">AVERAGE(K26:M26)</f>
        <v>0.67176114257587738</v>
      </c>
      <c r="O26" s="9">
        <f t="shared" ref="O26:O35" si="17">K26*$S$4+L26*$T$4+M26*$U$4</f>
        <v>0.67167624741109921</v>
      </c>
      <c r="P26" s="15"/>
      <c r="Q26" s="12" t="s">
        <v>24</v>
      </c>
    </row>
    <row r="27" spans="1:17" s="14" customFormat="1" x14ac:dyDescent="0.2">
      <c r="A27" s="5" t="s">
        <v>23</v>
      </c>
      <c r="B27" s="5">
        <v>1024</v>
      </c>
      <c r="C27" s="5">
        <v>1000</v>
      </c>
      <c r="D27" s="5">
        <v>0.05</v>
      </c>
      <c r="E27" s="5" t="b">
        <v>0</v>
      </c>
      <c r="F27" s="5">
        <v>0.3</v>
      </c>
      <c r="G27" s="5"/>
      <c r="H27" s="5"/>
      <c r="I27" s="5"/>
      <c r="J27" s="5"/>
      <c r="K27" s="6">
        <f>0.831807776053927</f>
        <v>0.83180777605392697</v>
      </c>
      <c r="L27" s="6">
        <f>0.700176449372411</f>
        <v>0.70017644937241097</v>
      </c>
      <c r="M27" s="6">
        <f>0.935180786977764</f>
        <v>0.93518078697776397</v>
      </c>
      <c r="N27" s="4">
        <f t="shared" si="16"/>
        <v>0.82238833746803408</v>
      </c>
      <c r="O27" s="4">
        <f t="shared" si="17"/>
        <v>0.82237573609006009</v>
      </c>
      <c r="P27" s="6">
        <v>0.52</v>
      </c>
      <c r="Q27" s="13"/>
    </row>
    <row r="28" spans="1:17" s="14" customFormat="1" x14ac:dyDescent="0.2">
      <c r="A28" s="6" t="s">
        <v>23</v>
      </c>
      <c r="B28" s="6">
        <v>1024</v>
      </c>
      <c r="C28" s="6">
        <v>5000</v>
      </c>
      <c r="D28" s="6">
        <v>0.05</v>
      </c>
      <c r="E28" s="6" t="b">
        <v>0</v>
      </c>
      <c r="F28" s="6">
        <v>0.3</v>
      </c>
      <c r="G28" s="5"/>
      <c r="H28" s="5"/>
      <c r="I28" s="5"/>
      <c r="J28" s="5"/>
      <c r="K28" s="6">
        <f>0.847269975397467</f>
        <v>0.84726997539746696</v>
      </c>
      <c r="L28" s="6">
        <f>0.714472694703222</f>
        <v>0.71447269470322206</v>
      </c>
      <c r="M28" s="6">
        <f>0.944377676155948</f>
        <v>0.94437767615594803</v>
      </c>
      <c r="N28" s="4">
        <f t="shared" ref="N28" si="18">AVERAGE(K28:M28)</f>
        <v>0.83537344875221231</v>
      </c>
      <c r="O28" s="4">
        <f t="shared" ref="O28" si="19">K28*$S$4+L28*$T$4+M28*$U$4</f>
        <v>0.83536246643774981</v>
      </c>
      <c r="P28" s="6">
        <v>0.53100000000000003</v>
      </c>
      <c r="Q28" s="13"/>
    </row>
    <row r="29" spans="1:17" s="14" customFormat="1" x14ac:dyDescent="0.2">
      <c r="A29" s="6"/>
      <c r="B29" s="6"/>
      <c r="C29" s="6"/>
      <c r="D29" s="6"/>
      <c r="E29" s="6"/>
      <c r="F29" s="6"/>
      <c r="G29" s="5"/>
      <c r="H29" s="5"/>
      <c r="I29" s="5"/>
      <c r="J29" s="5"/>
      <c r="K29" s="6"/>
      <c r="L29" s="6"/>
      <c r="M29" s="6"/>
      <c r="N29" s="4"/>
      <c r="O29" s="4"/>
      <c r="P29" s="6"/>
      <c r="Q29" s="13"/>
    </row>
    <row r="30" spans="1:17" s="14" customFormat="1" x14ac:dyDescent="0.2">
      <c r="A30" s="6" t="s">
        <v>23</v>
      </c>
      <c r="B30" s="6">
        <v>1024</v>
      </c>
      <c r="C30" s="6">
        <v>10000</v>
      </c>
      <c r="D30" s="6">
        <v>0.05</v>
      </c>
      <c r="E30" s="6" t="b">
        <v>0</v>
      </c>
      <c r="F30" s="6">
        <v>0.3</v>
      </c>
      <c r="G30" s="5"/>
      <c r="H30" s="5"/>
      <c r="I30" s="5"/>
      <c r="J30" s="5"/>
      <c r="K30" s="6">
        <f>0.838344831887656</f>
        <v>0.83834483188765596</v>
      </c>
      <c r="L30" s="6">
        <f>0.681740189116037</f>
        <v>0.68174018911603695</v>
      </c>
      <c r="M30" s="6">
        <f>0.943398130582841</f>
        <v>0.94339813058284105</v>
      </c>
      <c r="N30" s="4">
        <f t="shared" ref="N30" si="20">AVERAGE(K30:M30)</f>
        <v>0.82116105052884469</v>
      </c>
      <c r="O30" s="4">
        <f t="shared" ref="O30" si="21">K30*$S$4+L30*$T$4+M30*$U$4</f>
        <v>0.82115038014242125</v>
      </c>
      <c r="P30" s="6">
        <v>0.53600000000000003</v>
      </c>
      <c r="Q30" s="13"/>
    </row>
    <row r="31" spans="1:17" s="14" customFormat="1" x14ac:dyDescent="0.2">
      <c r="A31" s="6" t="s">
        <v>23</v>
      </c>
      <c r="B31" s="6">
        <v>2048</v>
      </c>
      <c r="C31" s="6">
        <v>5000</v>
      </c>
      <c r="D31" s="6">
        <v>0.05</v>
      </c>
      <c r="E31" s="6" t="b">
        <v>0</v>
      </c>
      <c r="F31" s="6">
        <v>0.3</v>
      </c>
      <c r="G31" s="6">
        <f>0.854317035114547</f>
        <v>0.85431703511454704</v>
      </c>
      <c r="H31" s="6">
        <f xml:space="preserve"> 0.715426610145723</f>
        <v>0.71542661014572295</v>
      </c>
      <c r="I31" s="6">
        <f>0.949916838174062</f>
        <v>0.94991683817406203</v>
      </c>
      <c r="J31" s="6">
        <f t="shared" si="1"/>
        <v>0.83988682781144408</v>
      </c>
      <c r="K31" s="6">
        <f>0.846696393638467</f>
        <v>0.84669639363846705</v>
      </c>
      <c r="L31" s="6">
        <f xml:space="preserve"> 0.710566713197048</f>
        <v>0.71056671319704801</v>
      </c>
      <c r="M31" s="6">
        <f xml:space="preserve"> 0.946386787860254</f>
        <v>0.94638678786025399</v>
      </c>
      <c r="N31" s="4">
        <f t="shared" ref="N31" si="22">AVERAGE(K31:M31)</f>
        <v>0.83454996489858957</v>
      </c>
      <c r="O31" s="4">
        <f t="shared" ref="O31" si="23">K31*$S$4+L31*$T$4+M31*$U$4</f>
        <v>0.83453867183569796</v>
      </c>
      <c r="P31" s="6">
        <v>0.54200000000000004</v>
      </c>
      <c r="Q31" s="13"/>
    </row>
    <row r="32" spans="1:17" s="14" customFormat="1" x14ac:dyDescent="0.2">
      <c r="A32" s="9" t="s">
        <v>28</v>
      </c>
      <c r="B32" s="9">
        <v>1024</v>
      </c>
      <c r="C32" s="9">
        <v>1000</v>
      </c>
      <c r="D32" s="9">
        <v>0.05</v>
      </c>
      <c r="E32" s="9" t="b">
        <v>0</v>
      </c>
      <c r="F32" s="9">
        <v>0.3</v>
      </c>
      <c r="G32" s="9"/>
      <c r="H32" s="9"/>
      <c r="I32" s="9"/>
      <c r="J32" s="9"/>
      <c r="K32" s="9">
        <f>0.837621255131507</f>
        <v>0.83762125513150698</v>
      </c>
      <c r="L32" s="9">
        <f>0.704902833289272</f>
        <v>0.70490283328927195</v>
      </c>
      <c r="M32" s="9">
        <f>0.933680417485202</f>
        <v>0.93368041748520203</v>
      </c>
      <c r="N32" s="9">
        <f t="shared" ref="N32" si="24">AVERAGE(K32:M32)</f>
        <v>0.82540150196866036</v>
      </c>
      <c r="O32" s="9">
        <f t="shared" ref="O32" si="25">K32*$S$4+L32*$T$4+M32*$U$4</f>
        <v>0.82539076498611652</v>
      </c>
      <c r="P32" s="15">
        <v>0.52900000000000003</v>
      </c>
      <c r="Q32" s="13"/>
    </row>
    <row r="33" spans="1:17" s="14" customFormat="1" x14ac:dyDescent="0.2">
      <c r="A33" s="9" t="s">
        <v>28</v>
      </c>
      <c r="B33" s="9">
        <v>1024</v>
      </c>
      <c r="C33" s="9">
        <v>5000</v>
      </c>
      <c r="D33" s="9">
        <v>0.05</v>
      </c>
      <c r="E33" s="9" t="b">
        <v>0</v>
      </c>
      <c r="F33" s="9">
        <v>0.3</v>
      </c>
      <c r="G33" s="9"/>
      <c r="H33" s="9"/>
      <c r="I33" s="9"/>
      <c r="J33" s="9"/>
      <c r="K33" s="9">
        <f xml:space="preserve"> 0.845221442187117</f>
        <v>0.84522144218711703</v>
      </c>
      <c r="L33" s="9">
        <f>0.701236977443568</f>
        <v>0.70123697744356805</v>
      </c>
      <c r="M33" s="9">
        <f>0.941316582372176</f>
        <v>0.94131658237217597</v>
      </c>
      <c r="N33" s="9">
        <f t="shared" ref="N33" si="26">AVERAGE(K33:M33)</f>
        <v>0.82925833400095372</v>
      </c>
      <c r="O33" s="9">
        <f t="shared" ref="O33" si="27">K33*$S$4+L33*$T$4+M33*$U$4</f>
        <v>0.82924864215215943</v>
      </c>
      <c r="P33" s="15">
        <v>0.53700000000000003</v>
      </c>
      <c r="Q33" s="13"/>
    </row>
    <row r="34" spans="1:17" s="14" customFormat="1" x14ac:dyDescent="0.2">
      <c r="A34" s="9" t="s">
        <v>28</v>
      </c>
      <c r="B34" s="9">
        <v>1024</v>
      </c>
      <c r="C34" s="9">
        <v>10000</v>
      </c>
      <c r="D34" s="9">
        <v>0.05</v>
      </c>
      <c r="E34" s="9" t="b">
        <v>0</v>
      </c>
      <c r="F34" s="9">
        <v>0.3</v>
      </c>
      <c r="G34" s="9"/>
      <c r="H34" s="9"/>
      <c r="I34" s="9"/>
      <c r="J34" s="9"/>
      <c r="K34" s="9">
        <f>0.838176619447318</f>
        <v>0.83817661944731803</v>
      </c>
      <c r="L34" s="9">
        <f>0.670041402341117</f>
        <v>0.67004140234111698</v>
      </c>
      <c r="M34" s="9">
        <f>0.942082163804304</f>
        <v>0.94208216380430398</v>
      </c>
      <c r="N34" s="9">
        <f t="shared" ref="N34" si="28">AVERAGE(K34:M34)</f>
        <v>0.81676672853091292</v>
      </c>
      <c r="O34" s="9">
        <f t="shared" ref="O34" si="29">K34*$S$4+L34*$T$4+M34*$U$4</f>
        <v>0.81675741331329621</v>
      </c>
      <c r="P34" s="15">
        <v>0.53100000000000003</v>
      </c>
      <c r="Q34" s="13"/>
    </row>
    <row r="35" spans="1:17" x14ac:dyDescent="0.2">
      <c r="A35" s="4" t="s">
        <v>27</v>
      </c>
      <c r="B35" s="6">
        <v>1024</v>
      </c>
      <c r="C35" s="6">
        <v>5</v>
      </c>
      <c r="D35" s="6">
        <v>0.05</v>
      </c>
      <c r="E35" s="6" t="b">
        <v>0</v>
      </c>
      <c r="F35" s="6">
        <v>0.3</v>
      </c>
      <c r="G35" s="4">
        <f>0.980902521672147</f>
        <v>0.98090252167214698</v>
      </c>
      <c r="H35" s="4">
        <f>0.87640205001324</f>
        <v>0.87640205001324001</v>
      </c>
      <c r="I35" s="4">
        <f>0.988159963680406</f>
        <v>0.98815996368040604</v>
      </c>
      <c r="J35" s="4">
        <f t="shared" si="1"/>
        <v>0.94848817845526445</v>
      </c>
      <c r="K35" s="4">
        <f>0.68544979981172</f>
        <v>0.68544979981172005</v>
      </c>
      <c r="L35" s="4">
        <f xml:space="preserve"> 0.485589926561728</f>
        <v>0.485589926561728</v>
      </c>
      <c r="M35" s="4">
        <f>0.761882892804458</f>
        <v>0.76188289280445798</v>
      </c>
      <c r="N35" s="4">
        <f t="shared" si="16"/>
        <v>0.64430753972596866</v>
      </c>
      <c r="O35" s="4">
        <f t="shared" si="17"/>
        <v>0.64430781310907492</v>
      </c>
      <c r="P35" s="15"/>
    </row>
    <row r="36" spans="1:17" x14ac:dyDescent="0.2">
      <c r="A36" s="4" t="s">
        <v>46</v>
      </c>
      <c r="B36" s="6">
        <v>1024</v>
      </c>
      <c r="C36" s="6">
        <v>5000</v>
      </c>
      <c r="D36" s="6">
        <v>0.05</v>
      </c>
      <c r="E36" s="6" t="b">
        <v>0</v>
      </c>
      <c r="F36" s="6">
        <v>0.3</v>
      </c>
      <c r="G36" s="4">
        <f xml:space="preserve"> 0.833996052448881</f>
        <v>0.83399605244888098</v>
      </c>
      <c r="H36" s="4">
        <f>0.692533329841995</f>
        <v>0.692533329841995</v>
      </c>
      <c r="I36" s="4">
        <f>0.935083323426109</f>
        <v>0.935083323426109</v>
      </c>
      <c r="J36" s="4">
        <f t="shared" si="1"/>
        <v>0.82053756857232829</v>
      </c>
      <c r="K36" s="4">
        <f>0.839608772958712</f>
        <v>0.83960877295871195</v>
      </c>
      <c r="L36" s="4">
        <f>0.700795841543073</f>
        <v>0.70079584154307295</v>
      </c>
      <c r="M36" s="4">
        <f>0.9390599280451</f>
        <v>0.93905992804509997</v>
      </c>
      <c r="N36" s="4">
        <f t="shared" ref="N36" si="30">AVERAGE(K36:M36)</f>
        <v>0.82648818084896158</v>
      </c>
      <c r="O36" s="4">
        <f t="shared" ref="O36" si="31">K36*$S$4+L36*$T$4+M36*$U$4</f>
        <v>0.82647719643141282</v>
      </c>
      <c r="P36" s="15">
        <v>0.53100000000000003</v>
      </c>
    </row>
    <row r="37" spans="1:17" x14ac:dyDescent="0.2">
      <c r="B37" s="6"/>
      <c r="C37" s="6"/>
      <c r="D37" s="6"/>
      <c r="E37" s="6"/>
      <c r="F37" s="6"/>
    </row>
    <row r="38" spans="1:17" x14ac:dyDescent="0.2">
      <c r="A38" s="4" t="s">
        <v>14</v>
      </c>
      <c r="B38" s="4">
        <v>1024</v>
      </c>
      <c r="C38" s="4">
        <v>5</v>
      </c>
      <c r="D38" s="4">
        <v>0.05</v>
      </c>
      <c r="E38" s="4" t="b">
        <v>1</v>
      </c>
      <c r="K38" s="4">
        <f>0.9852</f>
        <v>0.98519999999999996</v>
      </c>
      <c r="L38" s="4">
        <f>0.9833</f>
        <v>0.98329999999999995</v>
      </c>
      <c r="M38" s="4">
        <f>0.9926</f>
        <v>0.99260000000000004</v>
      </c>
      <c r="N38" s="4">
        <f>AVERAGE(K38:M38)</f>
        <v>0.98703333333333332</v>
      </c>
      <c r="O38" s="4">
        <f>K38*$S$4+L38*$T$4+M38*$U$4</f>
        <v>0.98703172758189162</v>
      </c>
      <c r="P38" s="6">
        <v>0.217</v>
      </c>
    </row>
    <row r="39" spans="1:17" x14ac:dyDescent="0.2">
      <c r="A39" s="4" t="s">
        <v>14</v>
      </c>
      <c r="B39" s="4">
        <v>1024</v>
      </c>
      <c r="C39" s="4">
        <v>5</v>
      </c>
      <c r="D39" s="4">
        <v>0.05</v>
      </c>
      <c r="E39" s="4" t="b">
        <v>0</v>
      </c>
      <c r="K39" s="4">
        <f>0.2885</f>
        <v>0.28849999999999998</v>
      </c>
      <c r="L39" s="4">
        <f xml:space="preserve"> 0.1569</f>
        <v>0.15690000000000001</v>
      </c>
      <c r="M39" s="4">
        <f>0.6265</f>
        <v>0.62649999999999995</v>
      </c>
      <c r="N39" s="4">
        <f t="shared" ref="N39" si="32">AVERAGE(K39:M39)</f>
        <v>0.35729999999999995</v>
      </c>
      <c r="O39" s="4">
        <f t="shared" ref="O39" si="33">K39*$S$4+L39*$T$4+M39*$U$4</f>
        <v>0.35723084824371187</v>
      </c>
    </row>
    <row r="40" spans="1:17" x14ac:dyDescent="0.2">
      <c r="A40" s="4" t="s">
        <v>14</v>
      </c>
      <c r="B40" s="4">
        <v>1024</v>
      </c>
      <c r="C40" s="4">
        <v>200</v>
      </c>
      <c r="D40" s="4">
        <v>0.05</v>
      </c>
      <c r="E40" s="4" t="b">
        <v>1</v>
      </c>
      <c r="K40" s="4">
        <f>0.9841</f>
        <v>0.98409999999999997</v>
      </c>
      <c r="L40" s="4">
        <f>0.9808</f>
        <v>0.98080000000000001</v>
      </c>
      <c r="M40" s="4">
        <f>0.9891</f>
        <v>0.98909999999999998</v>
      </c>
      <c r="N40" s="4">
        <f t="shared" ref="N40:N48" si="34">AVERAGE(K40:M40)</f>
        <v>0.98466666666666669</v>
      </c>
      <c r="O40" s="4">
        <f t="shared" ref="O40:O48" si="35">K40*$S$4+L40*$T$4+M40*$U$4</f>
        <v>0.98466577029260316</v>
      </c>
    </row>
    <row r="41" spans="1:17" x14ac:dyDescent="0.2">
      <c r="A41" s="4" t="s">
        <v>14</v>
      </c>
      <c r="B41" s="4">
        <v>1024</v>
      </c>
      <c r="C41" s="4">
        <v>200</v>
      </c>
      <c r="D41" s="4">
        <v>0.05</v>
      </c>
      <c r="E41" s="4" t="b">
        <v>0</v>
      </c>
      <c r="K41" s="4">
        <f>0.4322</f>
        <v>0.43219999999999997</v>
      </c>
      <c r="L41" s="4">
        <f xml:space="preserve"> 0.3599</f>
        <v>0.3599</v>
      </c>
      <c r="M41" s="4">
        <f>0.6696</f>
        <v>0.66959999999999997</v>
      </c>
      <c r="N41" s="4">
        <f t="shared" si="34"/>
        <v>0.48723333333333335</v>
      </c>
      <c r="O41" s="4">
        <f t="shared" si="35"/>
        <v>0.48718288036988566</v>
      </c>
      <c r="P41" s="17">
        <v>0.254</v>
      </c>
    </row>
    <row r="42" spans="1:17" x14ac:dyDescent="0.2">
      <c r="N42" s="4" t="e">
        <f t="shared" si="34"/>
        <v>#DIV/0!</v>
      </c>
      <c r="O42" s="4">
        <f t="shared" si="35"/>
        <v>0</v>
      </c>
    </row>
    <row r="43" spans="1:17" x14ac:dyDescent="0.2">
      <c r="N43" s="4" t="e">
        <f t="shared" si="34"/>
        <v>#DIV/0!</v>
      </c>
      <c r="O43" s="4">
        <f t="shared" si="35"/>
        <v>0</v>
      </c>
    </row>
    <row r="44" spans="1:17" x14ac:dyDescent="0.2">
      <c r="N44" s="4" t="e">
        <f t="shared" si="34"/>
        <v>#DIV/0!</v>
      </c>
      <c r="O44" s="4">
        <f t="shared" si="35"/>
        <v>0</v>
      </c>
    </row>
    <row r="45" spans="1:17" x14ac:dyDescent="0.2">
      <c r="N45" s="4" t="e">
        <f t="shared" si="34"/>
        <v>#DIV/0!</v>
      </c>
      <c r="O45" s="4">
        <f t="shared" si="35"/>
        <v>0</v>
      </c>
    </row>
    <row r="46" spans="1:17" x14ac:dyDescent="0.2">
      <c r="N46" s="4" t="e">
        <f t="shared" si="34"/>
        <v>#DIV/0!</v>
      </c>
      <c r="O46" s="4">
        <f t="shared" si="35"/>
        <v>0</v>
      </c>
    </row>
    <row r="47" spans="1:17" x14ac:dyDescent="0.2">
      <c r="N47" s="4" t="e">
        <f t="shared" si="34"/>
        <v>#DIV/0!</v>
      </c>
      <c r="O47" s="4">
        <f t="shared" si="35"/>
        <v>0</v>
      </c>
    </row>
    <row r="48" spans="1:17" x14ac:dyDescent="0.2">
      <c r="N48" s="4" t="e">
        <f t="shared" si="34"/>
        <v>#DIV/0!</v>
      </c>
      <c r="O48" s="4">
        <f t="shared" si="35"/>
        <v>0</v>
      </c>
    </row>
    <row r="50" spans="1:17" x14ac:dyDescent="0.2">
      <c r="A50" s="4" t="s">
        <v>39</v>
      </c>
    </row>
    <row r="52" spans="1:17" x14ac:dyDescent="0.2">
      <c r="A52" s="2" t="s">
        <v>12</v>
      </c>
      <c r="B52" s="2" t="s">
        <v>52</v>
      </c>
      <c r="C52" s="2" t="s">
        <v>17</v>
      </c>
      <c r="D52" s="3" t="s">
        <v>15</v>
      </c>
      <c r="E52" s="3" t="s">
        <v>0</v>
      </c>
      <c r="F52" s="3" t="s">
        <v>1</v>
      </c>
      <c r="G52" s="3" t="s">
        <v>16</v>
      </c>
      <c r="H52" s="7" t="s">
        <v>2</v>
      </c>
      <c r="I52" s="7" t="s">
        <v>6</v>
      </c>
      <c r="J52" s="16" t="s">
        <v>8</v>
      </c>
    </row>
    <row r="53" spans="1:17" x14ac:dyDescent="0.2">
      <c r="A53" s="3"/>
      <c r="B53" s="3"/>
      <c r="C53" s="3"/>
      <c r="D53" s="3"/>
      <c r="E53" s="3"/>
      <c r="F53" s="3"/>
      <c r="G53" s="3"/>
      <c r="H53" s="7"/>
      <c r="I53" s="7"/>
      <c r="J53" s="16"/>
    </row>
    <row r="54" spans="1:17" x14ac:dyDescent="0.2">
      <c r="A54" s="4" t="s">
        <v>42</v>
      </c>
      <c r="C54" s="4">
        <v>1024</v>
      </c>
      <c r="D54" s="4" t="s">
        <v>44</v>
      </c>
      <c r="E54" s="4">
        <v>5.0000000000000001E-3</v>
      </c>
      <c r="G54" s="4">
        <v>0.3</v>
      </c>
      <c r="H54" s="4" t="s">
        <v>45</v>
      </c>
      <c r="J54" s="6">
        <v>0.443</v>
      </c>
    </row>
    <row r="55" spans="1:17" x14ac:dyDescent="0.2">
      <c r="A55" s="4" t="s">
        <v>42</v>
      </c>
      <c r="C55" s="4">
        <v>1024</v>
      </c>
      <c r="D55" s="4">
        <v>5</v>
      </c>
      <c r="E55" s="4">
        <v>0.05</v>
      </c>
      <c r="F55" s="4" t="b">
        <v>0</v>
      </c>
      <c r="G55" s="4">
        <v>0.3</v>
      </c>
      <c r="H55" s="4">
        <f xml:space="preserve"> 0.999908488681692</f>
        <v>0.99990848868169202</v>
      </c>
      <c r="J55" s="6"/>
      <c r="K55" s="9"/>
      <c r="L55" s="9"/>
      <c r="M55" s="9"/>
      <c r="N55" s="9"/>
      <c r="O55" s="9"/>
      <c r="P55" s="15"/>
      <c r="Q55" s="11"/>
    </row>
    <row r="56" spans="1:17" x14ac:dyDescent="0.2">
      <c r="A56" s="4" t="s">
        <v>40</v>
      </c>
      <c r="C56" s="4">
        <v>1024</v>
      </c>
      <c r="D56" s="4">
        <v>5</v>
      </c>
      <c r="E56" s="4">
        <v>5.0000000000000001E-3</v>
      </c>
      <c r="F56" s="4" t="b">
        <v>0</v>
      </c>
      <c r="G56" s="4">
        <v>0.3</v>
      </c>
      <c r="H56" s="4">
        <f>0.999902176686377</f>
        <v>0.99990217668637704</v>
      </c>
      <c r="J56" s="6"/>
    </row>
    <row r="57" spans="1:17" x14ac:dyDescent="0.2">
      <c r="A57" s="4" t="s">
        <v>41</v>
      </c>
      <c r="C57" s="4">
        <v>1024</v>
      </c>
      <c r="D57" s="4" t="s">
        <v>43</v>
      </c>
      <c r="E57" s="4">
        <v>5.0000000000000001E-3</v>
      </c>
      <c r="G57" s="4">
        <v>0.3</v>
      </c>
      <c r="H57" s="4" t="s">
        <v>45</v>
      </c>
      <c r="J57" s="6">
        <v>0.40899999999999997</v>
      </c>
    </row>
    <row r="58" spans="1:17" x14ac:dyDescent="0.2">
      <c r="A58" s="4" t="s">
        <v>41</v>
      </c>
      <c r="C58" s="4">
        <v>1024</v>
      </c>
      <c r="D58" s="4">
        <v>5</v>
      </c>
      <c r="E58" s="4">
        <v>0.05</v>
      </c>
      <c r="F58" s="4" t="b">
        <v>0</v>
      </c>
      <c r="G58" s="4">
        <v>0.3</v>
      </c>
      <c r="H58" s="4">
        <f>0.973939230909028</f>
        <v>0.97393923090902801</v>
      </c>
      <c r="J58" s="6">
        <v>0.28000000000000003</v>
      </c>
    </row>
    <row r="59" spans="1:17" x14ac:dyDescent="0.2">
      <c r="A59" s="4" t="s">
        <v>41</v>
      </c>
      <c r="C59" s="4">
        <v>1024</v>
      </c>
      <c r="D59" s="4">
        <v>15</v>
      </c>
      <c r="E59" s="4">
        <v>2.7E-2</v>
      </c>
      <c r="F59" s="4" t="b">
        <v>0</v>
      </c>
      <c r="G59" s="4">
        <v>0.3</v>
      </c>
      <c r="H59" s="4">
        <v>0.84</v>
      </c>
    </row>
    <row r="60" spans="1:17" x14ac:dyDescent="0.2">
      <c r="A60" s="4" t="s">
        <v>46</v>
      </c>
      <c r="C60" s="4">
        <v>1024</v>
      </c>
      <c r="D60" s="4">
        <v>5</v>
      </c>
      <c r="E60" s="4">
        <v>5.0000000000000001E-3</v>
      </c>
      <c r="F60" s="4" t="b">
        <v>0</v>
      </c>
      <c r="G60" s="4">
        <v>0.3</v>
      </c>
      <c r="H60" s="4">
        <f>0.961057627536148</f>
        <v>0.96105762753614798</v>
      </c>
      <c r="J60" s="6">
        <v>0.28299999999999997</v>
      </c>
    </row>
    <row r="61" spans="1:17" x14ac:dyDescent="0.2">
      <c r="A61" s="4" t="s">
        <v>47</v>
      </c>
      <c r="C61" s="4">
        <v>1024</v>
      </c>
      <c r="D61" s="4">
        <v>5</v>
      </c>
      <c r="E61" s="4">
        <v>5.0000000000000001E-3</v>
      </c>
      <c r="F61" s="4" t="b">
        <v>0</v>
      </c>
      <c r="G61" s="4">
        <v>0.3</v>
      </c>
      <c r="H61" s="4">
        <f xml:space="preserve"> 0.848753419696717</f>
        <v>0.84875341969671703</v>
      </c>
      <c r="J61" s="6">
        <v>0.25900000000000001</v>
      </c>
    </row>
    <row r="62" spans="1:17" x14ac:dyDescent="0.2">
      <c r="A62" s="4" t="s">
        <v>49</v>
      </c>
      <c r="B62" s="20" t="s">
        <v>53</v>
      </c>
      <c r="C62" s="4" t="s">
        <v>50</v>
      </c>
      <c r="D62" s="4" t="s">
        <v>51</v>
      </c>
      <c r="E62" s="4">
        <v>8.2000000000000003E-2</v>
      </c>
      <c r="F62" s="4" t="b">
        <v>0</v>
      </c>
      <c r="G62" s="4">
        <v>0.3</v>
      </c>
      <c r="H62" s="4">
        <f xml:space="preserve"> 0.854927750727409</f>
        <v>0.85492775072740901</v>
      </c>
      <c r="I62" s="4">
        <f>0.877780862025843</f>
        <v>0.87778086202584304</v>
      </c>
      <c r="J62" s="6">
        <v>0.376</v>
      </c>
    </row>
    <row r="63" spans="1:17" x14ac:dyDescent="0.2">
      <c r="A63" s="4" t="s">
        <v>42</v>
      </c>
      <c r="B63" s="20" t="s">
        <v>55</v>
      </c>
      <c r="C63" s="4">
        <v>1024</v>
      </c>
      <c r="D63" s="4" t="s">
        <v>54</v>
      </c>
      <c r="E63" s="4">
        <v>2.7E-2</v>
      </c>
      <c r="F63" s="4" t="b">
        <v>0</v>
      </c>
      <c r="G63" s="4">
        <v>1.3</v>
      </c>
      <c r="H63" s="4">
        <f>0.802177552638431</f>
        <v>0.80217755263843105</v>
      </c>
      <c r="I63" s="4">
        <f>0.802177552638431</f>
        <v>0.80217755263843105</v>
      </c>
      <c r="J63" s="6">
        <v>0</v>
      </c>
    </row>
    <row r="64" spans="1:17" x14ac:dyDescent="0.2">
      <c r="A64" s="4" t="s">
        <v>61</v>
      </c>
      <c r="C64" s="4">
        <v>1024</v>
      </c>
      <c r="J64" s="6">
        <v>0</v>
      </c>
    </row>
    <row r="65" spans="1:10" x14ac:dyDescent="0.2">
      <c r="J65" s="6">
        <v>0</v>
      </c>
    </row>
    <row r="66" spans="1:10" x14ac:dyDescent="0.2">
      <c r="A66" s="4" t="s">
        <v>62</v>
      </c>
      <c r="J66" s="6">
        <v>0</v>
      </c>
    </row>
    <row r="67" spans="1:10" x14ac:dyDescent="0.2">
      <c r="A67" s="2" t="s">
        <v>12</v>
      </c>
      <c r="B67" s="2" t="s">
        <v>52</v>
      </c>
      <c r="C67" s="2" t="s">
        <v>17</v>
      </c>
      <c r="D67" s="3" t="s">
        <v>66</v>
      </c>
      <c r="E67" s="3" t="s">
        <v>0</v>
      </c>
      <c r="F67" s="3" t="s">
        <v>1</v>
      </c>
      <c r="G67" s="3" t="s">
        <v>16</v>
      </c>
      <c r="H67" s="7" t="s">
        <v>2</v>
      </c>
      <c r="I67" s="7" t="s">
        <v>6</v>
      </c>
      <c r="J67" s="16" t="s">
        <v>63</v>
      </c>
    </row>
    <row r="68" spans="1:10" x14ac:dyDescent="0.2">
      <c r="A68" s="3"/>
      <c r="B68" s="3"/>
      <c r="C68" s="3"/>
      <c r="D68" s="3"/>
      <c r="E68" s="3"/>
      <c r="F68" s="3"/>
      <c r="G68" s="3"/>
      <c r="H68" s="7"/>
      <c r="I68" s="7"/>
      <c r="J68" s="16"/>
    </row>
    <row r="69" spans="1:10" x14ac:dyDescent="0.2">
      <c r="A69" s="4" t="s">
        <v>46</v>
      </c>
      <c r="C69" s="4">
        <v>1024</v>
      </c>
      <c r="D69" s="4">
        <v>5</v>
      </c>
      <c r="E69" s="4">
        <v>0.05</v>
      </c>
      <c r="F69" s="4" t="s">
        <v>64</v>
      </c>
      <c r="J69" s="4">
        <v>0.18509999999999999</v>
      </c>
    </row>
    <row r="70" spans="1:10" x14ac:dyDescent="0.2">
      <c r="A70" s="4" t="s">
        <v>47</v>
      </c>
      <c r="C70" s="4">
        <v>1024</v>
      </c>
      <c r="D70" s="4">
        <v>5.0000000000000001E-3</v>
      </c>
      <c r="E70" s="4">
        <v>0.05</v>
      </c>
      <c r="F70" s="4" t="s">
        <v>64</v>
      </c>
      <c r="J70" s="4">
        <v>8.6349999999999996E-2</v>
      </c>
    </row>
    <row r="71" spans="1:10" x14ac:dyDescent="0.2">
      <c r="A71" s="4" t="s">
        <v>61</v>
      </c>
      <c r="C71" s="4">
        <v>1024</v>
      </c>
      <c r="D71" s="4">
        <v>5.0000000000000001E-3</v>
      </c>
      <c r="E71" s="4">
        <v>0.05</v>
      </c>
      <c r="F71" s="4" t="s">
        <v>64</v>
      </c>
      <c r="J71" s="4">
        <v>1.54E-2</v>
      </c>
    </row>
    <row r="72" spans="1:10" x14ac:dyDescent="0.2">
      <c r="A72" s="4" t="s">
        <v>65</v>
      </c>
      <c r="C72" s="4">
        <v>512</v>
      </c>
      <c r="D72" s="4">
        <v>5</v>
      </c>
      <c r="E72" s="4">
        <v>0.05</v>
      </c>
      <c r="F72" s="4" t="s">
        <v>64</v>
      </c>
      <c r="J72" s="4">
        <v>6.9279999999999994E-2</v>
      </c>
    </row>
    <row r="73" spans="1:10" x14ac:dyDescent="0.2">
      <c r="A73" s="4" t="s">
        <v>65</v>
      </c>
      <c r="C73" s="4">
        <v>1024</v>
      </c>
      <c r="D73" s="4">
        <v>1</v>
      </c>
      <c r="E73" s="4">
        <v>0.05</v>
      </c>
      <c r="F73" s="4" t="s">
        <v>64</v>
      </c>
      <c r="J73" s="4">
        <v>0.18848000000000001</v>
      </c>
    </row>
    <row r="74" spans="1:10" x14ac:dyDescent="0.2">
      <c r="A74" s="4" t="s">
        <v>65</v>
      </c>
      <c r="C74" s="4">
        <v>1024</v>
      </c>
      <c r="D74" s="4">
        <v>5</v>
      </c>
      <c r="E74" s="4">
        <v>0.05</v>
      </c>
      <c r="F74" s="4" t="s">
        <v>64</v>
      </c>
      <c r="J74" s="4">
        <v>0.22025</v>
      </c>
    </row>
    <row r="75" spans="1:10" x14ac:dyDescent="0.2">
      <c r="A75" s="4" t="s">
        <v>65</v>
      </c>
      <c r="C75" s="4">
        <v>1024</v>
      </c>
      <c r="D75" s="4">
        <v>10</v>
      </c>
      <c r="E75" s="4">
        <v>0.05</v>
      </c>
      <c r="F75" s="4" t="s">
        <v>64</v>
      </c>
      <c r="J75" s="4">
        <v>0.19697000000000001</v>
      </c>
    </row>
    <row r="76" spans="1:10" x14ac:dyDescent="0.2">
      <c r="A76" s="4" t="s">
        <v>65</v>
      </c>
      <c r="C76" s="4">
        <v>1024</v>
      </c>
      <c r="D76" s="4">
        <v>15</v>
      </c>
      <c r="E76" s="4">
        <v>2.7E-2</v>
      </c>
      <c r="F76" s="4" t="s">
        <v>64</v>
      </c>
      <c r="J76" s="4">
        <v>0.19047</v>
      </c>
    </row>
    <row r="77" spans="1:10" x14ac:dyDescent="0.2">
      <c r="A77" s="4" t="s">
        <v>40</v>
      </c>
      <c r="C77" s="4">
        <v>1024</v>
      </c>
      <c r="D77" s="4">
        <v>5</v>
      </c>
      <c r="E77" s="4">
        <v>0.05</v>
      </c>
      <c r="F77" s="4" t="s">
        <v>64</v>
      </c>
      <c r="J77" s="4">
        <v>0.19400999999999999</v>
      </c>
    </row>
    <row r="78" spans="1:10" x14ac:dyDescent="0.2">
      <c r="A78" s="4" t="s">
        <v>40</v>
      </c>
      <c r="C78" s="4">
        <v>1024</v>
      </c>
      <c r="D78" s="4">
        <v>5</v>
      </c>
      <c r="E78" s="4">
        <v>8.2000000000000003E-2</v>
      </c>
      <c r="F78" s="4" t="s">
        <v>64</v>
      </c>
      <c r="J78" s="4">
        <v>0.1915</v>
      </c>
    </row>
    <row r="79" spans="1:10" x14ac:dyDescent="0.2">
      <c r="A79" s="4" t="s">
        <v>40</v>
      </c>
      <c r="C79" s="4">
        <v>1024</v>
      </c>
      <c r="D79" s="4">
        <v>10</v>
      </c>
      <c r="E79" s="4">
        <v>4.1000000000000002E-2</v>
      </c>
      <c r="F79" s="4" t="s">
        <v>64</v>
      </c>
      <c r="J79" s="4">
        <v>0.1968</v>
      </c>
    </row>
    <row r="80" spans="1:10" x14ac:dyDescent="0.2">
      <c r="A80" s="4" t="s">
        <v>40</v>
      </c>
      <c r="C80" s="4">
        <v>1024</v>
      </c>
      <c r="D80" s="4">
        <v>10</v>
      </c>
      <c r="E80" s="4">
        <v>0.05</v>
      </c>
      <c r="F80" s="4" t="s">
        <v>64</v>
      </c>
      <c r="J80" s="4">
        <v>0.19578000000000001</v>
      </c>
    </row>
    <row r="81" spans="1:10" x14ac:dyDescent="0.2">
      <c r="A81" s="4" t="s">
        <v>41</v>
      </c>
      <c r="C81" s="4">
        <v>1024</v>
      </c>
      <c r="D81" s="4">
        <v>15</v>
      </c>
      <c r="E81" s="4">
        <v>2.7E-2</v>
      </c>
      <c r="F81" s="4" t="s">
        <v>64</v>
      </c>
      <c r="J81" s="4">
        <v>6.3350000000000004E-2</v>
      </c>
    </row>
  </sheetData>
  <sortState xmlns:xlrd2="http://schemas.microsoft.com/office/spreadsheetml/2017/richdata2" ref="A69:J81">
    <sortCondition ref="A69:A81"/>
    <sortCondition ref="C69:C81"/>
    <sortCondition ref="D69:D81"/>
    <sortCondition ref="E69:E81"/>
  </sortState>
  <conditionalFormatting sqref="J60:J66 J54:J58 P55">
    <cfRule type="colorScale" priority="2">
      <colorScale>
        <cfvo type="min"/>
        <cfvo type="max"/>
        <color theme="4" tint="0.79998168889431442"/>
        <color rgb="FFFF6256"/>
      </colorScale>
    </cfRule>
  </conditionalFormatting>
  <conditionalFormatting sqref="N49:N50">
    <cfRule type="colorScale" priority="18">
      <colorScale>
        <cfvo type="min"/>
        <cfvo type="max"/>
        <color rgb="FF00B0F0"/>
        <color rgb="FFFF6256"/>
      </colorScale>
    </cfRule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8:O51 O54:O62 O4:O36">
    <cfRule type="colorScale" priority="25">
      <colorScale>
        <cfvo type="min"/>
        <cfvo type="max"/>
        <color theme="7" tint="0.59999389629810485"/>
        <color rgb="FFFF6256"/>
      </colorScale>
    </cfRule>
    <cfRule type="colorScale" priority="26">
      <colorScale>
        <cfvo type="min"/>
        <cfvo type="max"/>
        <color rgb="FF00B0F0"/>
        <color rgb="FFFF6256"/>
      </colorScale>
    </cfRule>
  </conditionalFormatting>
  <conditionalFormatting sqref="P4:P18 P38:P48">
    <cfRule type="colorScale" priority="22">
      <colorScale>
        <cfvo type="min"/>
        <cfvo type="max"/>
        <color theme="4" tint="0.79998168889431442"/>
        <color rgb="FFFF6256"/>
      </colorScale>
    </cfRule>
  </conditionalFormatting>
  <conditionalFormatting sqref="P21:P23">
    <cfRule type="colorScale" priority="4">
      <colorScale>
        <cfvo type="min"/>
        <cfvo type="max"/>
        <color theme="4" tint="0.79998168889431442"/>
        <color rgb="FFFF6256"/>
      </colorScale>
    </cfRule>
  </conditionalFormatting>
  <conditionalFormatting sqref="P27:P36">
    <cfRule type="colorScale" priority="3">
      <colorScale>
        <cfvo type="min"/>
        <cfvo type="max"/>
        <color theme="4" tint="0.79998168889431442"/>
        <color rgb="FFFF6256"/>
      </colorScale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0673-0614-3349-9B4B-C9DF5C693BCB}">
  <dimension ref="A1:J10"/>
  <sheetViews>
    <sheetView workbookViewId="0">
      <selection activeCell="I8" sqref="I8"/>
    </sheetView>
  </sheetViews>
  <sheetFormatPr baseColWidth="10" defaultRowHeight="16" x14ac:dyDescent="0.2"/>
  <sheetData>
    <row r="1" spans="1:10" x14ac:dyDescent="0.2">
      <c r="A1" t="s">
        <v>29</v>
      </c>
      <c r="B1">
        <f>5000000*0.01</f>
        <v>50000</v>
      </c>
    </row>
    <row r="3" spans="1:10" x14ac:dyDescent="0.2">
      <c r="C3" t="s">
        <v>30</v>
      </c>
      <c r="D3" t="s">
        <v>31</v>
      </c>
      <c r="F3" t="s">
        <v>32</v>
      </c>
      <c r="G3" t="s">
        <v>37</v>
      </c>
      <c r="I3" t="s">
        <v>48</v>
      </c>
      <c r="J3" t="s">
        <v>37</v>
      </c>
    </row>
    <row r="4" spans="1:10" x14ac:dyDescent="0.2">
      <c r="A4" t="s">
        <v>33</v>
      </c>
      <c r="B4">
        <v>0.1</v>
      </c>
      <c r="C4">
        <v>62</v>
      </c>
      <c r="D4">
        <f>C4/$B$1</f>
        <v>1.24E-3</v>
      </c>
      <c r="F4" s="18">
        <f>D4</f>
        <v>1.24E-3</v>
      </c>
      <c r="G4" s="19">
        <f>F4*$B$1</f>
        <v>62</v>
      </c>
      <c r="I4" s="18">
        <v>1E-3</v>
      </c>
      <c r="J4" s="19">
        <f>I4*$B$1</f>
        <v>50</v>
      </c>
    </row>
    <row r="5" spans="1:10" x14ac:dyDescent="0.2">
      <c r="A5" s="10" t="s">
        <v>34</v>
      </c>
      <c r="B5">
        <v>0.125</v>
      </c>
      <c r="C5">
        <f>235</f>
        <v>235</v>
      </c>
      <c r="D5">
        <f t="shared" ref="D5:D10" si="0">C5/$B$1</f>
        <v>4.7000000000000002E-3</v>
      </c>
      <c r="F5" s="18">
        <f>D5</f>
        <v>4.7000000000000002E-3</v>
      </c>
      <c r="G5" s="19">
        <f t="shared" ref="G5:G10" si="1">F5*$B$1</f>
        <v>235</v>
      </c>
      <c r="I5" s="18">
        <v>5.0000000000000001E-3</v>
      </c>
      <c r="J5" s="19">
        <f>I5*$B$1</f>
        <v>250</v>
      </c>
    </row>
    <row r="6" spans="1:10" x14ac:dyDescent="0.2">
      <c r="A6" s="10" t="s">
        <v>35</v>
      </c>
      <c r="B6">
        <v>0.125</v>
      </c>
      <c r="C6">
        <f>597</f>
        <v>597</v>
      </c>
      <c r="D6">
        <f t="shared" si="0"/>
        <v>1.1939999999999999E-2</v>
      </c>
      <c r="F6" s="18">
        <f t="shared" ref="F6" si="2">D6</f>
        <v>1.1939999999999999E-2</v>
      </c>
      <c r="G6" s="19">
        <f t="shared" si="1"/>
        <v>597</v>
      </c>
      <c r="I6" s="18">
        <v>5.0000000000000001E-3</v>
      </c>
      <c r="J6" s="19">
        <f t="shared" ref="J6:J10" si="3">I6*$B$1</f>
        <v>250</v>
      </c>
    </row>
    <row r="7" spans="1:10" x14ac:dyDescent="0.2">
      <c r="A7" s="10" t="s">
        <v>36</v>
      </c>
      <c r="B7">
        <v>0.125</v>
      </c>
      <c r="C7">
        <f>79171</f>
        <v>79171</v>
      </c>
      <c r="D7">
        <f t="shared" si="0"/>
        <v>1.58342</v>
      </c>
      <c r="F7" s="18">
        <f>D7</f>
        <v>1.58342</v>
      </c>
      <c r="G7" s="19">
        <f t="shared" si="1"/>
        <v>79171</v>
      </c>
      <c r="I7" s="18">
        <v>0.01</v>
      </c>
      <c r="J7" s="19">
        <f t="shared" si="3"/>
        <v>500</v>
      </c>
    </row>
    <row r="8" spans="1:10" x14ac:dyDescent="0.2">
      <c r="A8" s="10">
        <v>0</v>
      </c>
      <c r="B8">
        <f>(1-B$4-B$5-B$6-B$7)/3</f>
        <v>0.17500000000000002</v>
      </c>
      <c r="C8">
        <f>456070</f>
        <v>456070</v>
      </c>
      <c r="D8">
        <f t="shared" si="0"/>
        <v>9.1213999999999995</v>
      </c>
      <c r="F8" s="18">
        <f>(1-F$4-F$5-F$6-F$7)/3</f>
        <v>-0.20043333333333335</v>
      </c>
      <c r="G8" s="19">
        <f t="shared" si="1"/>
        <v>-10021.666666666668</v>
      </c>
      <c r="I8" s="18">
        <f>(1-I$4-I$5-I$6-I$7)/3</f>
        <v>0.32633333333333331</v>
      </c>
      <c r="J8" s="19">
        <f t="shared" si="3"/>
        <v>16316.666666666666</v>
      </c>
    </row>
    <row r="9" spans="1:10" x14ac:dyDescent="0.2">
      <c r="A9" s="10">
        <v>1</v>
      </c>
      <c r="B9">
        <f>(1-B$4-B$5-B$6-B$7)/3</f>
        <v>0.17500000000000002</v>
      </c>
      <c r="C9">
        <f>328942</f>
        <v>328942</v>
      </c>
      <c r="D9">
        <f t="shared" si="0"/>
        <v>6.5788399999999996</v>
      </c>
      <c r="F9" s="18">
        <f t="shared" ref="F9:F10" si="4">(1-F$4-F$5-F$6-F$7)/3</f>
        <v>-0.20043333333333335</v>
      </c>
      <c r="G9" s="19">
        <f t="shared" si="1"/>
        <v>-10021.666666666668</v>
      </c>
      <c r="I9" s="18">
        <f t="shared" ref="I9:I10" si="5">(1-I$4-I$5-I$6-I$7)/3</f>
        <v>0.32633333333333331</v>
      </c>
      <c r="J9" s="19">
        <f t="shared" si="3"/>
        <v>16316.666666666666</v>
      </c>
    </row>
    <row r="10" spans="1:10" x14ac:dyDescent="0.2">
      <c r="A10" s="10">
        <v>2</v>
      </c>
      <c r="B10">
        <f>(1-B$4-B$5-B$6-B$7)/3</f>
        <v>0.17500000000000002</v>
      </c>
      <c r="C10">
        <f>644702</f>
        <v>644702</v>
      </c>
      <c r="D10">
        <f t="shared" si="0"/>
        <v>12.89404</v>
      </c>
      <c r="F10" s="18">
        <f t="shared" si="4"/>
        <v>-0.20043333333333335</v>
      </c>
      <c r="G10" s="19">
        <f t="shared" si="1"/>
        <v>-10021.666666666668</v>
      </c>
      <c r="I10" s="18">
        <f t="shared" si="5"/>
        <v>0.32633333333333331</v>
      </c>
      <c r="J10" s="19">
        <f t="shared" si="3"/>
        <v>16316.666666666666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3D39-9422-514E-BE20-B46F0E17FA31}">
  <dimension ref="A1:E3"/>
  <sheetViews>
    <sheetView workbookViewId="0">
      <selection activeCell="D8" sqref="D8"/>
    </sheetView>
  </sheetViews>
  <sheetFormatPr baseColWidth="10" defaultRowHeight="16" x14ac:dyDescent="0.2"/>
  <sheetData>
    <row r="1" spans="1:5" x14ac:dyDescent="0.2">
      <c r="D1" t="s">
        <v>56</v>
      </c>
      <c r="E1" t="s">
        <v>59</v>
      </c>
    </row>
    <row r="2" spans="1:5" x14ac:dyDescent="0.2">
      <c r="A2" t="s">
        <v>57</v>
      </c>
      <c r="B2" t="s">
        <v>58</v>
      </c>
      <c r="C2">
        <v>447</v>
      </c>
      <c r="D2">
        <f>35</f>
        <v>35</v>
      </c>
      <c r="E2">
        <f>C2+D2*2</f>
        <v>517</v>
      </c>
    </row>
    <row r="3" spans="1:5" x14ac:dyDescent="0.2">
      <c r="A3" t="s">
        <v>57</v>
      </c>
      <c r="B3" t="s">
        <v>60</v>
      </c>
      <c r="C3">
        <v>468</v>
      </c>
      <c r="D3">
        <v>0</v>
      </c>
      <c r="E3">
        <f>C3+D3*2</f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Nguyen</dc:creator>
  <cp:lastModifiedBy>My Nguyen</cp:lastModifiedBy>
  <dcterms:created xsi:type="dcterms:W3CDTF">2024-04-25T06:25:55Z</dcterms:created>
  <dcterms:modified xsi:type="dcterms:W3CDTF">2025-04-04T05:55:19Z</dcterms:modified>
</cp:coreProperties>
</file>